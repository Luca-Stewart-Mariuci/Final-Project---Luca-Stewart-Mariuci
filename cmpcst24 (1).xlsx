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G:\FT\Comparative Cost Comparative Revenue\Comparative Cost\cost2324-admin breakout\Web Output\"/>
    </mc:Choice>
  </mc:AlternateContent>
  <xr:revisionPtr revIDLastSave="0" documentId="13_ncr:1_{151DF034-6959-4740-8DD3-7DE309DDD020}" xr6:coauthVersionLast="47" xr6:coauthVersionMax="47" xr10:uidLastSave="{00000000-0000-0000-0000-000000000000}"/>
  <bookViews>
    <workbookView xWindow="-110" yWindow="-110" windowWidth="19420" windowHeight="11020" xr2:uid="{C6C268BF-5385-434D-823D-F563022FDC54}"/>
  </bookViews>
  <sheets>
    <sheet name="STATE TOTALS" sheetId="2" r:id="rId1"/>
    <sheet name="PER MEMBER" sheetId="1" r:id="rId2"/>
  </sheets>
  <definedNames>
    <definedName name="_xlnm._FilterDatabase" localSheetId="1" hidden="1">'PER MEMBER'!$A$8:$L$8</definedName>
    <definedName name="_xlnm._FilterDatabase" localSheetId="0" hidden="1">'STATE TOTALS'!$A$8:$L$8</definedName>
    <definedName name="_xlnm.Print_Titles" localSheetId="0">'STATE TOTALS'!$1:$7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30" i="2" l="1"/>
  <c r="K430" i="2"/>
  <c r="J430" i="2"/>
  <c r="I430" i="2"/>
  <c r="H430" i="2"/>
  <c r="G430" i="2"/>
  <c r="F430" i="2"/>
  <c r="L6" i="1"/>
  <c r="L430" i="1"/>
  <c r="A1" i="1"/>
  <c r="I430" i="1" l="1"/>
  <c r="H430" i="1"/>
  <c r="E3" i="2"/>
  <c r="F430" i="1"/>
  <c r="G430" i="1"/>
  <c r="J430" i="1"/>
  <c r="K430" i="1"/>
  <c r="E3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Erin K. Fath</author>
  </authors>
  <commentList>
    <comment ref="D7" authorId="0" shapeId="0" xr:uid="{60833A69-8A4E-4AB7-A9D2-D96CF115D4E2}">
      <text>
        <r>
          <rPr>
            <b/>
            <sz val="10"/>
            <color indexed="81"/>
            <rFont val="Tahoma"/>
            <family val="2"/>
          </rPr>
          <t>TYPE:</t>
        </r>
        <r>
          <rPr>
            <sz val="10"/>
            <color indexed="81"/>
            <rFont val="Tahoma"/>
            <family val="2"/>
          </rPr>
          <t xml:space="preserve">
1 = K-12
2 = Unified High School (9 - 12)
3 = K-8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Erin K. Fath</author>
  </authors>
  <commentList>
    <comment ref="D7" authorId="0" shapeId="0" xr:uid="{F284EF6C-C485-4352-899C-6D6F5C4D97B0}">
      <text>
        <r>
          <rPr>
            <b/>
            <sz val="10"/>
            <color indexed="81"/>
            <rFont val="Tahoma"/>
            <family val="2"/>
          </rPr>
          <t>TYPE:</t>
        </r>
        <r>
          <rPr>
            <sz val="10"/>
            <color indexed="81"/>
            <rFont val="Tahoma"/>
            <family val="2"/>
          </rPr>
          <t xml:space="preserve">
1 = K-12
2 = Unified High School (9 - 12)
3 = K-8</t>
        </r>
      </text>
    </comment>
  </commentList>
</comments>
</file>

<file path=xl/sharedStrings.xml><?xml version="1.0" encoding="utf-8"?>
<sst xmlns="http://schemas.openxmlformats.org/spreadsheetml/2006/main" count="905" uniqueCount="456">
  <si>
    <t xml:space="preserve"> </t>
  </si>
  <si>
    <t xml:space="preserve">Total State Cost Per Member = </t>
  </si>
  <si>
    <t>Sorted by District Name</t>
  </si>
  <si>
    <t>TOTAL CURRENT</t>
  </si>
  <si>
    <t>TRANSPORTATION</t>
  </si>
  <si>
    <t>FACILITY</t>
  </si>
  <si>
    <t>TOTAL</t>
  </si>
  <si>
    <t>FOOD AND</t>
  </si>
  <si>
    <t>EDUCATION COST</t>
  </si>
  <si>
    <t>COST</t>
  </si>
  <si>
    <t>COMM SERVICE</t>
  </si>
  <si>
    <t>DISTRICT COST</t>
  </si>
  <si>
    <t>CODE</t>
  </si>
  <si>
    <t>COUNTY</t>
  </si>
  <si>
    <t>CESA</t>
  </si>
  <si>
    <t>TYPE</t>
  </si>
  <si>
    <t>NAME</t>
  </si>
  <si>
    <t>PER MEMBER (TCEC)</t>
  </si>
  <si>
    <t>PER MEMBER</t>
  </si>
  <si>
    <t>PER MEMBER (TEC)</t>
  </si>
  <si>
    <t>PER MEMBER (TDC)</t>
  </si>
  <si>
    <t>MEMBERSHIP</t>
  </si>
  <si>
    <t>Abbotsford</t>
  </si>
  <si>
    <t>Adams-Friendship Area</t>
  </si>
  <si>
    <t>Albany</t>
  </si>
  <si>
    <t>Algoma</t>
  </si>
  <si>
    <t>Alma</t>
  </si>
  <si>
    <t>Alma Center</t>
  </si>
  <si>
    <t>Almond-Bancroft</t>
  </si>
  <si>
    <t>Altoona</t>
  </si>
  <si>
    <t>Amery</t>
  </si>
  <si>
    <t>Antigo</t>
  </si>
  <si>
    <t>Appleton Area</t>
  </si>
  <si>
    <t>Arcadia</t>
  </si>
  <si>
    <t>Argyle</t>
  </si>
  <si>
    <t>Arrowhead UHS</t>
  </si>
  <si>
    <t>Ashland</t>
  </si>
  <si>
    <t>Ashwaubenon</t>
  </si>
  <si>
    <t>Athens</t>
  </si>
  <si>
    <t>Auburndale</t>
  </si>
  <si>
    <t>Augusta</t>
  </si>
  <si>
    <t>Baldwin-Woodville Area</t>
  </si>
  <si>
    <t>Bangor</t>
  </si>
  <si>
    <t>Baraboo</t>
  </si>
  <si>
    <t>Barneveld</t>
  </si>
  <si>
    <t>Barron Area</t>
  </si>
  <si>
    <t>Bayfield</t>
  </si>
  <si>
    <t>Beaver Dam</t>
  </si>
  <si>
    <t>Beecher-Dunbar-Pembine</t>
  </si>
  <si>
    <t>Belleville</t>
  </si>
  <si>
    <t>Belmont Community</t>
  </si>
  <si>
    <t>Beloit</t>
  </si>
  <si>
    <t>Beloit Turner</t>
  </si>
  <si>
    <t>Benton</t>
  </si>
  <si>
    <t>Berlin Area</t>
  </si>
  <si>
    <t>Big Foot UHS</t>
  </si>
  <si>
    <t>Birchwood</t>
  </si>
  <si>
    <t>Black Hawk</t>
  </si>
  <si>
    <t>Black River Falls</t>
  </si>
  <si>
    <t>Blair-Taylor</t>
  </si>
  <si>
    <t>Bloomer</t>
  </si>
  <si>
    <t>Bonduel</t>
  </si>
  <si>
    <t>Boscobel</t>
  </si>
  <si>
    <t>Bowler</t>
  </si>
  <si>
    <t>Boyceville Community</t>
  </si>
  <si>
    <t>Brighton #1</t>
  </si>
  <si>
    <t>Brillion</t>
  </si>
  <si>
    <t>Bristol #1</t>
  </si>
  <si>
    <t>Brodhead</t>
  </si>
  <si>
    <t>Brown Deer</t>
  </si>
  <si>
    <t>Bruce</t>
  </si>
  <si>
    <t>Burlington Area</t>
  </si>
  <si>
    <t>Butternut</t>
  </si>
  <si>
    <t>Cadott Community</t>
  </si>
  <si>
    <t>Cambria-Friesland</t>
  </si>
  <si>
    <t>Cambridge</t>
  </si>
  <si>
    <t>Cameron</t>
  </si>
  <si>
    <t>Campbellsport</t>
  </si>
  <si>
    <t>Cashton</t>
  </si>
  <si>
    <t>Cassville</t>
  </si>
  <si>
    <t>Cedar Grove-Belgium Area</t>
  </si>
  <si>
    <t>Cedarburg</t>
  </si>
  <si>
    <t>Central/Westosha UHS</t>
  </si>
  <si>
    <t>Chequamegon</t>
  </si>
  <si>
    <t>Chetek-Weyerhaeuser</t>
  </si>
  <si>
    <t>Chilton</t>
  </si>
  <si>
    <t>Chippewa Falls Area</t>
  </si>
  <si>
    <t>Clayton</t>
  </si>
  <si>
    <t>Clear Lake</t>
  </si>
  <si>
    <t>Clinton Community</t>
  </si>
  <si>
    <t>Clintonville</t>
  </si>
  <si>
    <t>Cochrane-Fountain City</t>
  </si>
  <si>
    <t>Colby</t>
  </si>
  <si>
    <t>Coleman</t>
  </si>
  <si>
    <t>Colfax</t>
  </si>
  <si>
    <t>Columbus</t>
  </si>
  <si>
    <t>Cornell</t>
  </si>
  <si>
    <t>Crandon</t>
  </si>
  <si>
    <t>Crivitz</t>
  </si>
  <si>
    <t>Cuba City</t>
  </si>
  <si>
    <t>Cudahy</t>
  </si>
  <si>
    <t>Cumberland</t>
  </si>
  <si>
    <t>D C Everest Area</t>
  </si>
  <si>
    <t>Darlington Community</t>
  </si>
  <si>
    <t>Deerfield Community</t>
  </si>
  <si>
    <t>Deforest Area</t>
  </si>
  <si>
    <t>Delavan-Darien</t>
  </si>
  <si>
    <t>Denmark</t>
  </si>
  <si>
    <t>Depere</t>
  </si>
  <si>
    <t>Desoto Area</t>
  </si>
  <si>
    <t>Dodgeland</t>
  </si>
  <si>
    <t>Dodgeville</t>
  </si>
  <si>
    <t>Dover #1</t>
  </si>
  <si>
    <t>Drummond</t>
  </si>
  <si>
    <t>Durand</t>
  </si>
  <si>
    <t>East Troy Community</t>
  </si>
  <si>
    <t>Eau Claire Area</t>
  </si>
  <si>
    <t>Edgar</t>
  </si>
  <si>
    <t>Edgerton</t>
  </si>
  <si>
    <t>Elcho</t>
  </si>
  <si>
    <t>Eleva-Strum</t>
  </si>
  <si>
    <t>Elk Mound Area</t>
  </si>
  <si>
    <t>Elkhart Lake-Glenbeulah</t>
  </si>
  <si>
    <t>Elkhorn Area</t>
  </si>
  <si>
    <t>Ellsworth Community</t>
  </si>
  <si>
    <t>Elmbrook</t>
  </si>
  <si>
    <t>Elmwood</t>
  </si>
  <si>
    <t>Erin</t>
  </si>
  <si>
    <t>Evansville Community</t>
  </si>
  <si>
    <t>Fall Creek</t>
  </si>
  <si>
    <t>Fall River</t>
  </si>
  <si>
    <t>Fennimore Community</t>
  </si>
  <si>
    <t>Flambeau</t>
  </si>
  <si>
    <t>Florence</t>
  </si>
  <si>
    <t>Fond Du Lac</t>
  </si>
  <si>
    <t>Fontana J8</t>
  </si>
  <si>
    <t>Fort Atkinson</t>
  </si>
  <si>
    <t>Fox Point J2</t>
  </si>
  <si>
    <t>Franklin Public</t>
  </si>
  <si>
    <t>Frederic</t>
  </si>
  <si>
    <t>Freedom Area</t>
  </si>
  <si>
    <t>Geneva J4</t>
  </si>
  <si>
    <t>Genoa City J2</t>
  </si>
  <si>
    <t>Germantown</t>
  </si>
  <si>
    <t>Gibraltar Area</t>
  </si>
  <si>
    <t>Gillett</t>
  </si>
  <si>
    <t>Gilman</t>
  </si>
  <si>
    <t>Gilmanton</t>
  </si>
  <si>
    <t>Glendale-River Hills</t>
  </si>
  <si>
    <t>Glenwood City</t>
  </si>
  <si>
    <t>Goodman-Armstrong</t>
  </si>
  <si>
    <t>Grafton</t>
  </si>
  <si>
    <t>Granton Area</t>
  </si>
  <si>
    <t>Grantsburg</t>
  </si>
  <si>
    <t>Green Bay Area</t>
  </si>
  <si>
    <t>Green Lake</t>
  </si>
  <si>
    <t>Greendale</t>
  </si>
  <si>
    <t>Greenfield</t>
  </si>
  <si>
    <t>Greenwood</t>
  </si>
  <si>
    <t>Gresham</t>
  </si>
  <si>
    <t>Hamilton</t>
  </si>
  <si>
    <t>Hartford J1</t>
  </si>
  <si>
    <t>Hartford UHS</t>
  </si>
  <si>
    <t>Hartland-Lakeside J3</t>
  </si>
  <si>
    <t>Hayward Community</t>
  </si>
  <si>
    <t>Highland</t>
  </si>
  <si>
    <t>Hilbert</t>
  </si>
  <si>
    <t>Hillsboro</t>
  </si>
  <si>
    <t>Holmen</t>
  </si>
  <si>
    <t>Horicon</t>
  </si>
  <si>
    <t>Hortonville</t>
  </si>
  <si>
    <t>Howards Grove</t>
  </si>
  <si>
    <t>Howard-Suamico</t>
  </si>
  <si>
    <t>Hudson</t>
  </si>
  <si>
    <t>Hurley</t>
  </si>
  <si>
    <t>Hustisford</t>
  </si>
  <si>
    <t>Independence</t>
  </si>
  <si>
    <t>Iola-Scandinavia</t>
  </si>
  <si>
    <t>Iowa-Grant</t>
  </si>
  <si>
    <t>Ithaca</t>
  </si>
  <si>
    <t>Janesville</t>
  </si>
  <si>
    <t>Jefferson</t>
  </si>
  <si>
    <t>Johnson Creek</t>
  </si>
  <si>
    <t>Juda</t>
  </si>
  <si>
    <t>Kaukauna Area</t>
  </si>
  <si>
    <t>Kenosha</t>
  </si>
  <si>
    <t>Kettle Moraine</t>
  </si>
  <si>
    <t>Kewaskum</t>
  </si>
  <si>
    <t>Kewaunee</t>
  </si>
  <si>
    <t>Kickapoo Area</t>
  </si>
  <si>
    <t>Kiel Area</t>
  </si>
  <si>
    <t>Kimberly Area</t>
  </si>
  <si>
    <t>Kohler</t>
  </si>
  <si>
    <t>Lac Du Flambeau #1</t>
  </si>
  <si>
    <t>Lacrosse</t>
  </si>
  <si>
    <t>Ladysmith</t>
  </si>
  <si>
    <t>Lafarge</t>
  </si>
  <si>
    <t>Lake Country</t>
  </si>
  <si>
    <t>Lake Geneva J1</t>
  </si>
  <si>
    <t>Lake Geneva-Genoa UHS</t>
  </si>
  <si>
    <t>Lake Holcombe</t>
  </si>
  <si>
    <t>Lake Mills Area</t>
  </si>
  <si>
    <t>Lakeland UHS</t>
  </si>
  <si>
    <t>Lancaster Community</t>
  </si>
  <si>
    <t>Laona</t>
  </si>
  <si>
    <t>Lena</t>
  </si>
  <si>
    <t>Linn J4</t>
  </si>
  <si>
    <t>Linn J6</t>
  </si>
  <si>
    <t>Little Chute Area</t>
  </si>
  <si>
    <t>Lodi</t>
  </si>
  <si>
    <t>Lomira</t>
  </si>
  <si>
    <t>Loyal</t>
  </si>
  <si>
    <t>Luck</t>
  </si>
  <si>
    <t>Luxemburg-Casco</t>
  </si>
  <si>
    <t>Madison Metropolitan</t>
  </si>
  <si>
    <t>Manawa</t>
  </si>
  <si>
    <t>Manitowoc</t>
  </si>
  <si>
    <t>Maple</t>
  </si>
  <si>
    <t>Maple Dale-Indian Hill</t>
  </si>
  <si>
    <t>Marathon City</t>
  </si>
  <si>
    <t>Marinette</t>
  </si>
  <si>
    <t>Marion</t>
  </si>
  <si>
    <t>Markesan</t>
  </si>
  <si>
    <t>Marshall</t>
  </si>
  <si>
    <t>Marshfield</t>
  </si>
  <si>
    <t>Mauston</t>
  </si>
  <si>
    <t>Mayville</t>
  </si>
  <si>
    <t>McFarland</t>
  </si>
  <si>
    <t>Medford Area</t>
  </si>
  <si>
    <t>Mellen</t>
  </si>
  <si>
    <t>Melrose-Mindoro</t>
  </si>
  <si>
    <t>Menasha</t>
  </si>
  <si>
    <t>Menominee Indian</t>
  </si>
  <si>
    <t>Menomonee Falls</t>
  </si>
  <si>
    <t>Menomonie Area</t>
  </si>
  <si>
    <t>Mequon-Thiensville</t>
  </si>
  <si>
    <t>Mercer</t>
  </si>
  <si>
    <t>Merrill Area</t>
  </si>
  <si>
    <t>Merton Community</t>
  </si>
  <si>
    <t>Middleton-Cross Plains</t>
  </si>
  <si>
    <t>Milton</t>
  </si>
  <si>
    <t>Milwaukee</t>
  </si>
  <si>
    <t>Mineral Point</t>
  </si>
  <si>
    <t>Minocqua J1</t>
  </si>
  <si>
    <t>Mishicot</t>
  </si>
  <si>
    <t>Mondovi</t>
  </si>
  <si>
    <t>Monona Grove</t>
  </si>
  <si>
    <t>Monroe</t>
  </si>
  <si>
    <t>Montello</t>
  </si>
  <si>
    <t>Monticello</t>
  </si>
  <si>
    <t>Mosinee</t>
  </si>
  <si>
    <t>Mount Horeb Area</t>
  </si>
  <si>
    <t>Mukwonago</t>
  </si>
  <si>
    <t>Muskego-Norway</t>
  </si>
  <si>
    <t>Necedah Area</t>
  </si>
  <si>
    <t>Neenah</t>
  </si>
  <si>
    <t>Neillsville</t>
  </si>
  <si>
    <t>Nekoosa</t>
  </si>
  <si>
    <t>New Auburn</t>
  </si>
  <si>
    <t>New Berlin</t>
  </si>
  <si>
    <t>New Glarus</t>
  </si>
  <si>
    <t>New Holstein</t>
  </si>
  <si>
    <t>New Lisbon</t>
  </si>
  <si>
    <t>New London</t>
  </si>
  <si>
    <t>New Richmond</t>
  </si>
  <si>
    <t>Niagara</t>
  </si>
  <si>
    <t>Nicolet UHS</t>
  </si>
  <si>
    <t>North Cape</t>
  </si>
  <si>
    <t>North Crawford</t>
  </si>
  <si>
    <t>North Fond Du Lac</t>
  </si>
  <si>
    <t>North Lake</t>
  </si>
  <si>
    <t>North Lakeland</t>
  </si>
  <si>
    <t>Northern Ozaukee</t>
  </si>
  <si>
    <t>Northland Pines</t>
  </si>
  <si>
    <t>Northwood</t>
  </si>
  <si>
    <t>Norwalk-Ontario-Wilton</t>
  </si>
  <si>
    <t>Norway J7</t>
  </si>
  <si>
    <t>Oak Creek-Franklin</t>
  </si>
  <si>
    <t>Oakfield</t>
  </si>
  <si>
    <t>Oconomowoc Area</t>
  </si>
  <si>
    <t>Oconto</t>
  </si>
  <si>
    <t>Oconto Falls</t>
  </si>
  <si>
    <t>Omro</t>
  </si>
  <si>
    <t>Onalaska</t>
  </si>
  <si>
    <t>Oostburg</t>
  </si>
  <si>
    <t>Oregon</t>
  </si>
  <si>
    <t>Osceola</t>
  </si>
  <si>
    <t>Oshkosh Area</t>
  </si>
  <si>
    <t>Osseo-Fairchild</t>
  </si>
  <si>
    <t>Owen-Withee</t>
  </si>
  <si>
    <t>Palmyra-Eagle Area</t>
  </si>
  <si>
    <t>Pardeeville Area</t>
  </si>
  <si>
    <t>Paris J1</t>
  </si>
  <si>
    <t>Parkview</t>
  </si>
  <si>
    <t>Pecatonica Area</t>
  </si>
  <si>
    <t>Pepin Area</t>
  </si>
  <si>
    <t>Peshtigo</t>
  </si>
  <si>
    <t>Pewaukee</t>
  </si>
  <si>
    <t>Phelps</t>
  </si>
  <si>
    <t>Phillips</t>
  </si>
  <si>
    <t>Pittsville</t>
  </si>
  <si>
    <t>Platteville</t>
  </si>
  <si>
    <t>Plum City</t>
  </si>
  <si>
    <t>Plymouth</t>
  </si>
  <si>
    <t>Port Edwards</t>
  </si>
  <si>
    <t>Port Washington-Saukville</t>
  </si>
  <si>
    <t>Portage Community</t>
  </si>
  <si>
    <t>Potosi</t>
  </si>
  <si>
    <t>Poynette</t>
  </si>
  <si>
    <t>Prairie Du Chien Area</t>
  </si>
  <si>
    <t>Prairie Farm</t>
  </si>
  <si>
    <t>Prentice</t>
  </si>
  <si>
    <t>Prescott</t>
  </si>
  <si>
    <t>Princeton</t>
  </si>
  <si>
    <t>Pulaski Community</t>
  </si>
  <si>
    <t>Racine</t>
  </si>
  <si>
    <t>Randall J1</t>
  </si>
  <si>
    <t>Randolph</t>
  </si>
  <si>
    <t>Random Lake</t>
  </si>
  <si>
    <t>Raymond #14</t>
  </si>
  <si>
    <t>Reedsburg</t>
  </si>
  <si>
    <t>Reedsville</t>
  </si>
  <si>
    <t>Rhinelander</t>
  </si>
  <si>
    <t>Rib Lake</t>
  </si>
  <si>
    <t>Rice Lake Area</t>
  </si>
  <si>
    <t>Richland</t>
  </si>
  <si>
    <t>Richmond</t>
  </si>
  <si>
    <t>Rio Community</t>
  </si>
  <si>
    <t>Ripon Area</t>
  </si>
  <si>
    <t>River Falls</t>
  </si>
  <si>
    <t>River Ridge</t>
  </si>
  <si>
    <t>River Valley</t>
  </si>
  <si>
    <t>Riverdale</t>
  </si>
  <si>
    <t>Rosendale-Brandon</t>
  </si>
  <si>
    <t>Rosholt</t>
  </si>
  <si>
    <t>Royall</t>
  </si>
  <si>
    <t>Saint Croix Central</t>
  </si>
  <si>
    <t>Saint Croix Falls</t>
  </si>
  <si>
    <t>Saint Francis</t>
  </si>
  <si>
    <t>Salem</t>
  </si>
  <si>
    <t>Sauk Prairie</t>
  </si>
  <si>
    <t>Seneca</t>
  </si>
  <si>
    <t>Sevastopol</t>
  </si>
  <si>
    <t>Seymour Community</t>
  </si>
  <si>
    <t>Sharon J11</t>
  </si>
  <si>
    <t>Shawano</t>
  </si>
  <si>
    <t>Sheboygan Area</t>
  </si>
  <si>
    <t>Sheboygan Falls</t>
  </si>
  <si>
    <t>Shell Lake</t>
  </si>
  <si>
    <t>Shiocton</t>
  </si>
  <si>
    <t>Shorewood</t>
  </si>
  <si>
    <t>Shullsburg</t>
  </si>
  <si>
    <t>Silver Lake J1</t>
  </si>
  <si>
    <t>Siren</t>
  </si>
  <si>
    <t>Slinger</t>
  </si>
  <si>
    <t>Solon Springs</t>
  </si>
  <si>
    <t>Somerset</t>
  </si>
  <si>
    <t>South Milwaukee</t>
  </si>
  <si>
    <t>South Shore</t>
  </si>
  <si>
    <t>Southern Door County</t>
  </si>
  <si>
    <t>Southwestern Wisconsin</t>
  </si>
  <si>
    <t>Sparta Area</t>
  </si>
  <si>
    <t>Spencer</t>
  </si>
  <si>
    <t>Spooner</t>
  </si>
  <si>
    <t>Spring Valley</t>
  </si>
  <si>
    <t>Stanley-Boyd Area</t>
  </si>
  <si>
    <t>Stevens Point Area</t>
  </si>
  <si>
    <t>Stockbridge</t>
  </si>
  <si>
    <t>Stone Bank School District</t>
  </si>
  <si>
    <t>Stoughton Area</t>
  </si>
  <si>
    <t>Stratford</t>
  </si>
  <si>
    <t>Sturgeon Bay</t>
  </si>
  <si>
    <t>Sun Prairie Area</t>
  </si>
  <si>
    <t>Superior</t>
  </si>
  <si>
    <t>Suring</t>
  </si>
  <si>
    <t>Swallow</t>
  </si>
  <si>
    <t>Thorp</t>
  </si>
  <si>
    <t>Three Lakes</t>
  </si>
  <si>
    <t>Tigerton</t>
  </si>
  <si>
    <t>Tomah Area</t>
  </si>
  <si>
    <t>Tomahawk</t>
  </si>
  <si>
    <t>Tomorrow River</t>
  </si>
  <si>
    <t>Trevor-Wilmot Consolidated</t>
  </si>
  <si>
    <t>Tri-County Area</t>
  </si>
  <si>
    <t>Turtle Lake</t>
  </si>
  <si>
    <t>Twin Lakes #4</t>
  </si>
  <si>
    <t>Two Rivers</t>
  </si>
  <si>
    <t>Union Grove J1</t>
  </si>
  <si>
    <t>Union Grove UHS</t>
  </si>
  <si>
    <t>Unity</t>
  </si>
  <si>
    <t>Valders Area</t>
  </si>
  <si>
    <t>Verona Area</t>
  </si>
  <si>
    <t>Viroqua Area</t>
  </si>
  <si>
    <t>Wabeno Area</t>
  </si>
  <si>
    <t>Walworth J1</t>
  </si>
  <si>
    <t>Washburn</t>
  </si>
  <si>
    <t>Washington</t>
  </si>
  <si>
    <t>Washington-Caldwell</t>
  </si>
  <si>
    <t>Waterford Graded</t>
  </si>
  <si>
    <t>Waterford UHS</t>
  </si>
  <si>
    <t>Waterloo</t>
  </si>
  <si>
    <t>Watertown</t>
  </si>
  <si>
    <t>Waukesha</t>
  </si>
  <si>
    <t>Waunakee Community</t>
  </si>
  <si>
    <t>Waupaca</t>
  </si>
  <si>
    <t>Waupun</t>
  </si>
  <si>
    <t>Wausau</t>
  </si>
  <si>
    <t>Wausaukee</t>
  </si>
  <si>
    <t>Wautoma Area</t>
  </si>
  <si>
    <t>Wauwatosa</t>
  </si>
  <si>
    <t>Wauzeka-Steuben</t>
  </si>
  <si>
    <t>Webster</t>
  </si>
  <si>
    <t>West Allis</t>
  </si>
  <si>
    <t>West Bend</t>
  </si>
  <si>
    <t>West Depere</t>
  </si>
  <si>
    <t>West Salem</t>
  </si>
  <si>
    <t>Westby Area</t>
  </si>
  <si>
    <t>Westfield</t>
  </si>
  <si>
    <t>Weston</t>
  </si>
  <si>
    <t>Weyauwega-Fremont</t>
  </si>
  <si>
    <t>Wheatland J1</t>
  </si>
  <si>
    <t>White Lake</t>
  </si>
  <si>
    <t>Whitefish Bay</t>
  </si>
  <si>
    <t>Whitehall</t>
  </si>
  <si>
    <t>Whitewater</t>
  </si>
  <si>
    <t>Whitnall</t>
  </si>
  <si>
    <t>Wild Rose</t>
  </si>
  <si>
    <t>Williams Bay</t>
  </si>
  <si>
    <t>Wilmot UHS</t>
  </si>
  <si>
    <t>Winneconne Community</t>
  </si>
  <si>
    <t>Winter</t>
  </si>
  <si>
    <t>Wisconsin Dells</t>
  </si>
  <si>
    <t>Wisconsin Heights</t>
  </si>
  <si>
    <t>Wisconsin Rapids</t>
  </si>
  <si>
    <t>Wittenberg-Birnamwood</t>
  </si>
  <si>
    <t>Wonewoc-Union Center</t>
  </si>
  <si>
    <t>Woodruff J1</t>
  </si>
  <si>
    <t>Wrightstown Community</t>
  </si>
  <si>
    <t>Yorkville J2</t>
  </si>
  <si>
    <t>Statewide Total</t>
  </si>
  <si>
    <t>Comparative Cost Data</t>
  </si>
  <si>
    <t xml:space="preserve">FOOD &amp; </t>
  </si>
  <si>
    <t>EDUCATION</t>
  </si>
  <si>
    <t>COMMUNITY</t>
  </si>
  <si>
    <t>DISTRICT</t>
  </si>
  <si>
    <t>SERVICE</t>
  </si>
  <si>
    <t>(TCEC)</t>
  </si>
  <si>
    <t>(TEC)</t>
  </si>
  <si>
    <t>(TDC)</t>
  </si>
  <si>
    <t>*   Data for the Norris School District, a K-12 reform school, is excluded.</t>
  </si>
  <si>
    <t>Galesville-Ettrick-Trempealeau</t>
  </si>
  <si>
    <t>Herman-Neosho-Rubicon</t>
  </si>
  <si>
    <t>Holy Hill Area</t>
  </si>
  <si>
    <t>Comparative Cost Data (Cost Per Member)</t>
  </si>
  <si>
    <t>2023-2024 School District Annual Report Data *</t>
  </si>
  <si>
    <t>23-24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</si>
</sst>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000"/>
    <numFmt numFmtId="165" formatCode="&quot;$&quot;#,##0"/>
    <numFmt numFmtId="166" formatCode="_(* #,##0_);_(* \(#,##0\);_(* &quot;-&quot;??_);_(@_)"/>
  </numFmts>
  <fonts count="1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i/>
      <sz val="11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  <font>
      <b/>
      <sz val="10"/>
      <color indexed="81"/>
      <name val="Tahoma"/>
      <family val="2"/>
    </font>
    <font>
      <sz val="10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</font>
    <font>
      <b/>
      <i/>
      <sz val="10"/>
      <color rgb="FFFF0000"/>
      <name val="Calibri"/>
      <family val="2"/>
    </font>
    <font>
      <sz val="10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8" fillId="0" borderId="0" applyFont="0" applyFill="0" applyBorder="0" applyAlignment="0" applyProtection="0"/>
  </cellStyleXfs>
  <cellXfs count="46">
    <xf numFmtId="0" fontId="0" fillId="0" borderId="0" xfId="0"/>
    <xf numFmtId="164" fontId="1" fillId="0" borderId="0" xfId="0" applyNumberFormat="1" applyFont="1"/>
    <xf numFmtId="0" fontId="1" fillId="0" borderId="0" xfId="0" applyFont="1"/>
    <xf numFmtId="3" fontId="1" fillId="0" borderId="0" xfId="0" applyNumberFormat="1" applyFont="1"/>
    <xf numFmtId="3" fontId="9" fillId="0" borderId="0" xfId="0" applyNumberFormat="1" applyFont="1"/>
    <xf numFmtId="164" fontId="2" fillId="0" borderId="0" xfId="0" applyNumberFormat="1" applyFont="1"/>
    <xf numFmtId="164" fontId="10" fillId="0" borderId="0" xfId="0" applyNumberFormat="1" applyFont="1" applyAlignment="1">
      <alignment horizontal="left"/>
    </xf>
    <xf numFmtId="0" fontId="3" fillId="0" borderId="0" xfId="0" applyFont="1" applyAlignment="1">
      <alignment horizontal="center"/>
    </xf>
    <xf numFmtId="3" fontId="4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3" fontId="4" fillId="0" borderId="0" xfId="0" quotePrefix="1" applyNumberFormat="1" applyFont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0" fontId="4" fillId="0" borderId="1" xfId="0" quotePrefix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3" fontId="4" fillId="0" borderId="1" xfId="0" applyNumberFormat="1" applyFont="1" applyBorder="1" applyAlignment="1">
      <alignment horizontal="center"/>
    </xf>
    <xf numFmtId="1" fontId="3" fillId="0" borderId="0" xfId="0" quotePrefix="1" applyNumberFormat="1" applyFont="1"/>
    <xf numFmtId="0" fontId="3" fillId="0" borderId="0" xfId="0" quotePrefix="1" applyFont="1"/>
    <xf numFmtId="3" fontId="3" fillId="0" borderId="0" xfId="0" quotePrefix="1" applyNumberFormat="1" applyFont="1"/>
    <xf numFmtId="164" fontId="4" fillId="0" borderId="2" xfId="0" applyNumberFormat="1" applyFont="1" applyBorder="1"/>
    <xf numFmtId="0" fontId="4" fillId="0" borderId="2" xfId="0" applyFont="1" applyBorder="1"/>
    <xf numFmtId="3" fontId="4" fillId="0" borderId="2" xfId="0" applyNumberFormat="1" applyFont="1" applyBorder="1"/>
    <xf numFmtId="164" fontId="5" fillId="0" borderId="0" xfId="0" applyNumberFormat="1" applyFont="1"/>
    <xf numFmtId="0" fontId="5" fillId="0" borderId="0" xfId="0" applyFont="1"/>
    <xf numFmtId="3" fontId="5" fillId="0" borderId="0" xfId="0" applyNumberFormat="1" applyFont="1"/>
    <xf numFmtId="0" fontId="1" fillId="0" borderId="0" xfId="0" applyFont="1" applyAlignment="1">
      <alignment horizontal="center"/>
    </xf>
    <xf numFmtId="0" fontId="4" fillId="0" borderId="0" xfId="0" applyFont="1"/>
    <xf numFmtId="165" fontId="4" fillId="0" borderId="0" xfId="0" applyNumberFormat="1" applyFont="1" applyAlignment="1">
      <alignment horizontal="left"/>
    </xf>
    <xf numFmtId="0" fontId="4" fillId="0" borderId="0" xfId="0" quotePrefix="1" applyFont="1" applyAlignment="1">
      <alignment horizontal="center"/>
    </xf>
    <xf numFmtId="1" fontId="4" fillId="0" borderId="0" xfId="0" quotePrefix="1" applyNumberFormat="1" applyFont="1" applyAlignment="1">
      <alignment horizontal="center"/>
    </xf>
    <xf numFmtId="1" fontId="4" fillId="0" borderId="1" xfId="0" quotePrefix="1" applyNumberFormat="1" applyFont="1" applyBorder="1" applyAlignment="1">
      <alignment horizontal="center"/>
    </xf>
    <xf numFmtId="3" fontId="4" fillId="0" borderId="1" xfId="0" quotePrefix="1" applyNumberFormat="1" applyFont="1" applyBorder="1" applyAlignment="1">
      <alignment horizontal="center"/>
    </xf>
    <xf numFmtId="1" fontId="4" fillId="0" borderId="2" xfId="0" applyNumberFormat="1" applyFont="1" applyBorder="1"/>
    <xf numFmtId="1" fontId="5" fillId="0" borderId="0" xfId="0" applyNumberFormat="1" applyFont="1"/>
    <xf numFmtId="0" fontId="11" fillId="0" borderId="0" xfId="0" quotePrefix="1" applyFont="1"/>
    <xf numFmtId="0" fontId="11" fillId="0" borderId="0" xfId="0" applyFont="1"/>
    <xf numFmtId="164" fontId="3" fillId="0" borderId="0" xfId="0" quotePrefix="1" applyNumberFormat="1" applyFont="1"/>
    <xf numFmtId="0" fontId="3" fillId="0" borderId="0" xfId="0" applyFont="1"/>
    <xf numFmtId="3" fontId="3" fillId="0" borderId="0" xfId="0" applyNumberFormat="1" applyFont="1"/>
    <xf numFmtId="3" fontId="12" fillId="0" borderId="0" xfId="0" applyNumberFormat="1" applyFont="1"/>
    <xf numFmtId="0" fontId="12" fillId="0" borderId="0" xfId="0" applyFont="1"/>
    <xf numFmtId="0" fontId="13" fillId="0" borderId="0" xfId="0" applyFont="1"/>
    <xf numFmtId="3" fontId="13" fillId="0" borderId="2" xfId="0" applyNumberFormat="1" applyFont="1" applyBorder="1"/>
    <xf numFmtId="166" fontId="12" fillId="0" borderId="0" xfId="1" applyNumberFormat="1" applyFont="1"/>
    <xf numFmtId="166" fontId="12" fillId="0" borderId="0" xfId="1" applyNumberFormat="1" applyFont="1" applyFill="1"/>
    <xf numFmtId="165" fontId="1" fillId="0" borderId="0" xfId="0" applyNumberFormat="1" applyFont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87C48-1CD5-4E11-8B21-B98E6A708D10}">
  <sheetPr>
    <pageSetUpPr fitToPage="1"/>
  </sheetPr>
  <dimension ref="A1:L432"/>
  <sheetViews>
    <sheetView tabSelected="1" workbookViewId="0">
      <pane ySplit="7" topLeftCell="A8" activePane="bottomLeft" state="frozen"/>
      <selection pane="bottomLeft" activeCell="A459" sqref="A459"/>
    </sheetView>
  </sheetViews>
  <sheetFormatPr defaultRowHeight="14.5" x14ac:dyDescent="0.35"/>
  <cols>
    <col min="1" max="1" width="10.81640625" customWidth="1"/>
    <col min="2" max="2" width="7.54296875" bestFit="1" customWidth="1"/>
    <col min="3" max="4" width="4.81640625" bestFit="1" customWidth="1"/>
    <col min="5" max="5" width="25.7265625" bestFit="1" customWidth="1"/>
    <col min="6" max="6" width="13.7265625" bestFit="1" customWidth="1"/>
    <col min="7" max="7" width="15.453125" bestFit="1" customWidth="1"/>
    <col min="8" max="8" width="11.7265625" bestFit="1" customWidth="1"/>
    <col min="9" max="9" width="13.453125" bestFit="1" customWidth="1"/>
    <col min="10" max="10" width="11.1796875" bestFit="1" customWidth="1"/>
    <col min="11" max="11" width="13.453125" bestFit="1" customWidth="1"/>
    <col min="12" max="12" width="11.26953125" bestFit="1" customWidth="1"/>
  </cols>
  <sheetData>
    <row r="1" spans="1:12" x14ac:dyDescent="0.35">
      <c r="A1" s="1" t="s">
        <v>454</v>
      </c>
      <c r="B1" s="2"/>
      <c r="C1" s="2"/>
      <c r="D1" s="2"/>
      <c r="E1" s="2"/>
      <c r="F1" s="24"/>
      <c r="G1" s="24"/>
      <c r="H1" s="24"/>
      <c r="I1" s="24"/>
      <c r="J1" s="24"/>
      <c r="K1" s="24"/>
      <c r="L1" s="24"/>
    </row>
    <row r="2" spans="1:12" x14ac:dyDescent="0.35">
      <c r="A2" s="1" t="s">
        <v>440</v>
      </c>
      <c r="B2" s="2"/>
      <c r="C2" s="2"/>
      <c r="D2" s="2"/>
      <c r="E2" s="2"/>
      <c r="F2" s="24"/>
      <c r="G2" s="24"/>
      <c r="H2" s="24"/>
      <c r="I2" s="24"/>
      <c r="J2" s="24"/>
      <c r="K2" s="24"/>
      <c r="L2" s="24"/>
    </row>
    <row r="3" spans="1:12" x14ac:dyDescent="0.35">
      <c r="A3" s="1" t="s">
        <v>1</v>
      </c>
      <c r="B3" s="2"/>
      <c r="C3" s="2"/>
      <c r="D3" s="2"/>
      <c r="E3" s="45">
        <f>K430/L430</f>
        <v>18310.044339754681</v>
      </c>
      <c r="F3" s="25"/>
      <c r="G3" s="25"/>
      <c r="H3" s="25"/>
      <c r="I3" s="25"/>
      <c r="J3" s="25"/>
      <c r="K3" s="25"/>
      <c r="L3" s="25"/>
    </row>
    <row r="4" spans="1:12" x14ac:dyDescent="0.35">
      <c r="A4" s="5" t="s">
        <v>2</v>
      </c>
      <c r="B4" s="26"/>
      <c r="C4" s="26"/>
      <c r="D4" s="27"/>
      <c r="E4" s="10"/>
      <c r="F4" s="11" t="s">
        <v>3</v>
      </c>
      <c r="G4" s="11" t="s">
        <v>0</v>
      </c>
      <c r="H4" s="11"/>
      <c r="I4" s="11" t="s">
        <v>6</v>
      </c>
      <c r="J4" s="11" t="s">
        <v>441</v>
      </c>
      <c r="K4" s="11" t="s">
        <v>6</v>
      </c>
      <c r="L4" s="10"/>
    </row>
    <row r="5" spans="1:12" x14ac:dyDescent="0.35">
      <c r="A5" s="6"/>
      <c r="B5" s="28"/>
      <c r="C5" s="28"/>
      <c r="D5" s="28"/>
      <c r="E5" s="28"/>
      <c r="F5" s="11" t="s">
        <v>442</v>
      </c>
      <c r="G5" s="11"/>
      <c r="H5" s="11"/>
      <c r="I5" s="11" t="s">
        <v>442</v>
      </c>
      <c r="J5" s="11" t="s">
        <v>443</v>
      </c>
      <c r="K5" s="11" t="s">
        <v>444</v>
      </c>
      <c r="L5" s="11"/>
    </row>
    <row r="6" spans="1:12" x14ac:dyDescent="0.35">
      <c r="A6" s="29"/>
      <c r="B6" s="28"/>
      <c r="C6" s="28"/>
      <c r="D6" s="28"/>
      <c r="E6" s="28"/>
      <c r="F6" s="11" t="s">
        <v>9</v>
      </c>
      <c r="G6" s="11" t="s">
        <v>4</v>
      </c>
      <c r="H6" s="11" t="s">
        <v>5</v>
      </c>
      <c r="I6" s="11" t="s">
        <v>9</v>
      </c>
      <c r="J6" s="11" t="s">
        <v>445</v>
      </c>
      <c r="K6" s="11" t="s">
        <v>9</v>
      </c>
      <c r="L6" s="11" t="s">
        <v>455</v>
      </c>
    </row>
    <row r="7" spans="1:12" ht="15" thickBot="1" x14ac:dyDescent="0.4">
      <c r="A7" s="30" t="s">
        <v>12</v>
      </c>
      <c r="B7" s="13" t="s">
        <v>13</v>
      </c>
      <c r="C7" s="13" t="s">
        <v>14</v>
      </c>
      <c r="D7" s="14" t="s">
        <v>15</v>
      </c>
      <c r="E7" s="13" t="s">
        <v>16</v>
      </c>
      <c r="F7" s="31" t="s">
        <v>446</v>
      </c>
      <c r="G7" s="31" t="s">
        <v>9</v>
      </c>
      <c r="H7" s="31" t="s">
        <v>9</v>
      </c>
      <c r="I7" s="31" t="s">
        <v>447</v>
      </c>
      <c r="J7" s="31" t="s">
        <v>9</v>
      </c>
      <c r="K7" s="31" t="s">
        <v>448</v>
      </c>
      <c r="L7" s="15" t="s">
        <v>21</v>
      </c>
    </row>
    <row r="8" spans="1:12" x14ac:dyDescent="0.35">
      <c r="A8" s="29"/>
      <c r="B8" s="28"/>
      <c r="C8" s="28"/>
      <c r="D8" s="28"/>
      <c r="E8" s="28"/>
      <c r="F8" s="11"/>
      <c r="G8" s="11"/>
      <c r="H8" s="11"/>
      <c r="I8" s="11"/>
      <c r="J8" s="11"/>
      <c r="K8" s="11"/>
      <c r="L8" s="8"/>
    </row>
    <row r="9" spans="1:12" s="40" customFormat="1" ht="13" x14ac:dyDescent="0.3">
      <c r="A9" s="16">
        <v>7</v>
      </c>
      <c r="B9" s="17">
        <v>10</v>
      </c>
      <c r="C9" s="17">
        <v>10</v>
      </c>
      <c r="D9" s="17">
        <v>1</v>
      </c>
      <c r="E9" s="18" t="s">
        <v>22</v>
      </c>
      <c r="F9" s="39">
        <v>9947197.4900000002</v>
      </c>
      <c r="G9" s="39">
        <v>398232.13</v>
      </c>
      <c r="H9" s="39">
        <v>1345906.7</v>
      </c>
      <c r="I9" s="39">
        <v>11691336.32</v>
      </c>
      <c r="J9" s="39">
        <v>829819.83</v>
      </c>
      <c r="K9" s="39">
        <v>12521156.15</v>
      </c>
      <c r="L9" s="43">
        <v>837</v>
      </c>
    </row>
    <row r="10" spans="1:12" s="40" customFormat="1" ht="13" x14ac:dyDescent="0.3">
      <c r="A10" s="16">
        <v>14</v>
      </c>
      <c r="B10" s="17">
        <v>1</v>
      </c>
      <c r="C10" s="17">
        <v>5</v>
      </c>
      <c r="D10" s="17">
        <v>1</v>
      </c>
      <c r="E10" s="18" t="s">
        <v>23</v>
      </c>
      <c r="F10" s="39">
        <v>22151450.32</v>
      </c>
      <c r="G10" s="39">
        <v>1177276.31</v>
      </c>
      <c r="H10" s="39">
        <v>568820.59</v>
      </c>
      <c r="I10" s="39">
        <v>23897547.219999999</v>
      </c>
      <c r="J10" s="39">
        <v>1404192.12</v>
      </c>
      <c r="K10" s="39">
        <v>25301739.34</v>
      </c>
      <c r="L10" s="43">
        <v>1454</v>
      </c>
    </row>
    <row r="11" spans="1:12" s="40" customFormat="1" ht="13" x14ac:dyDescent="0.3">
      <c r="A11" s="16">
        <v>63</v>
      </c>
      <c r="B11" s="17">
        <v>23</v>
      </c>
      <c r="C11" s="17">
        <v>2</v>
      </c>
      <c r="D11" s="17">
        <v>1</v>
      </c>
      <c r="E11" s="18" t="s">
        <v>24</v>
      </c>
      <c r="F11" s="39">
        <v>6361056.1699999999</v>
      </c>
      <c r="G11" s="39">
        <v>299262.21999999997</v>
      </c>
      <c r="H11" s="39">
        <v>395116.79999999999</v>
      </c>
      <c r="I11" s="39">
        <v>7055435.1900000004</v>
      </c>
      <c r="J11" s="39">
        <v>228168.01</v>
      </c>
      <c r="K11" s="39">
        <v>7283603.2000000002</v>
      </c>
      <c r="L11" s="43">
        <v>411</v>
      </c>
    </row>
    <row r="12" spans="1:12" s="40" customFormat="1" ht="13" x14ac:dyDescent="0.3">
      <c r="A12" s="16">
        <v>70</v>
      </c>
      <c r="B12" s="17">
        <v>31</v>
      </c>
      <c r="C12" s="17">
        <v>7</v>
      </c>
      <c r="D12" s="17">
        <v>1</v>
      </c>
      <c r="E12" s="18" t="s">
        <v>25</v>
      </c>
      <c r="F12" s="39">
        <v>9757883.7799999993</v>
      </c>
      <c r="G12" s="39">
        <v>507855.21</v>
      </c>
      <c r="H12" s="39">
        <v>396709.46</v>
      </c>
      <c r="I12" s="39">
        <v>10662448.449999999</v>
      </c>
      <c r="J12" s="39">
        <v>1075581.0900000001</v>
      </c>
      <c r="K12" s="39">
        <v>11738029.539999999</v>
      </c>
      <c r="L12" s="43">
        <v>731</v>
      </c>
    </row>
    <row r="13" spans="1:12" s="40" customFormat="1" ht="13" x14ac:dyDescent="0.3">
      <c r="A13" s="16">
        <v>84</v>
      </c>
      <c r="B13" s="17">
        <v>6</v>
      </c>
      <c r="C13" s="17">
        <v>4</v>
      </c>
      <c r="D13" s="17">
        <v>1</v>
      </c>
      <c r="E13" s="18" t="s">
        <v>26</v>
      </c>
      <c r="F13" s="39">
        <v>3364955.93</v>
      </c>
      <c r="G13" s="39">
        <v>415921.23</v>
      </c>
      <c r="H13" s="39">
        <v>602290.18999999994</v>
      </c>
      <c r="I13" s="39">
        <v>4383167.3499999996</v>
      </c>
      <c r="J13" s="39">
        <v>294093.38</v>
      </c>
      <c r="K13" s="39">
        <v>4677260.7300000004</v>
      </c>
      <c r="L13" s="43">
        <v>226</v>
      </c>
    </row>
    <row r="14" spans="1:12" s="40" customFormat="1" ht="13" x14ac:dyDescent="0.3">
      <c r="A14" s="16">
        <v>91</v>
      </c>
      <c r="B14" s="17">
        <v>27</v>
      </c>
      <c r="C14" s="17">
        <v>4</v>
      </c>
      <c r="D14" s="17">
        <v>1</v>
      </c>
      <c r="E14" s="18" t="s">
        <v>27</v>
      </c>
      <c r="F14" s="39">
        <v>7731384.6900000004</v>
      </c>
      <c r="G14" s="39">
        <v>505315.88</v>
      </c>
      <c r="H14" s="39">
        <v>1527513.87</v>
      </c>
      <c r="I14" s="39">
        <v>9764214.4399999995</v>
      </c>
      <c r="J14" s="39">
        <v>1026813.18</v>
      </c>
      <c r="K14" s="39">
        <v>10791027.619999999</v>
      </c>
      <c r="L14" s="43">
        <v>527</v>
      </c>
    </row>
    <row r="15" spans="1:12" s="40" customFormat="1" ht="13" x14ac:dyDescent="0.3">
      <c r="A15" s="16">
        <v>105</v>
      </c>
      <c r="B15" s="17">
        <v>49</v>
      </c>
      <c r="C15" s="17">
        <v>5</v>
      </c>
      <c r="D15" s="17">
        <v>1</v>
      </c>
      <c r="E15" s="18" t="s">
        <v>28</v>
      </c>
      <c r="F15" s="39">
        <v>6335849.5099999998</v>
      </c>
      <c r="G15" s="39">
        <v>417697.37</v>
      </c>
      <c r="H15" s="39">
        <v>24414.84</v>
      </c>
      <c r="I15" s="39">
        <v>6777961.7199999997</v>
      </c>
      <c r="J15" s="39">
        <v>310050.96999999997</v>
      </c>
      <c r="K15" s="39">
        <v>7088012.6900000004</v>
      </c>
      <c r="L15" s="43">
        <v>446</v>
      </c>
    </row>
    <row r="16" spans="1:12" s="40" customFormat="1" ht="13" x14ac:dyDescent="0.3">
      <c r="A16" s="16">
        <v>112</v>
      </c>
      <c r="B16" s="17">
        <v>18</v>
      </c>
      <c r="C16" s="17">
        <v>10</v>
      </c>
      <c r="D16" s="17">
        <v>1</v>
      </c>
      <c r="E16" s="18" t="s">
        <v>29</v>
      </c>
      <c r="F16" s="39">
        <v>23774819.32</v>
      </c>
      <c r="G16" s="39">
        <v>1058507.1100000001</v>
      </c>
      <c r="H16" s="39">
        <v>3369406.9</v>
      </c>
      <c r="I16" s="39">
        <v>28202733.329999998</v>
      </c>
      <c r="J16" s="39">
        <v>1402672.86</v>
      </c>
      <c r="K16" s="39">
        <v>29605406.190000001</v>
      </c>
      <c r="L16" s="43">
        <v>1649</v>
      </c>
    </row>
    <row r="17" spans="1:12" s="40" customFormat="1" ht="13" x14ac:dyDescent="0.3">
      <c r="A17" s="16">
        <v>119</v>
      </c>
      <c r="B17" s="17">
        <v>48</v>
      </c>
      <c r="C17" s="17">
        <v>11</v>
      </c>
      <c r="D17" s="17">
        <v>1</v>
      </c>
      <c r="E17" s="18" t="s">
        <v>30</v>
      </c>
      <c r="F17" s="39">
        <v>21058378.870000001</v>
      </c>
      <c r="G17" s="39">
        <v>1014293.66</v>
      </c>
      <c r="H17" s="39">
        <v>3065192.33</v>
      </c>
      <c r="I17" s="39">
        <v>25137864.859999999</v>
      </c>
      <c r="J17" s="39">
        <v>2801523.83</v>
      </c>
      <c r="K17" s="39">
        <v>27939388.690000001</v>
      </c>
      <c r="L17" s="43">
        <v>1395</v>
      </c>
    </row>
    <row r="18" spans="1:12" s="40" customFormat="1" ht="13" x14ac:dyDescent="0.3">
      <c r="A18" s="16">
        <v>140</v>
      </c>
      <c r="B18" s="17">
        <v>34</v>
      </c>
      <c r="C18" s="17">
        <v>9</v>
      </c>
      <c r="D18" s="17">
        <v>1</v>
      </c>
      <c r="E18" s="18" t="s">
        <v>31</v>
      </c>
      <c r="F18" s="39">
        <v>29959080.710000001</v>
      </c>
      <c r="G18" s="39">
        <v>1377014.28</v>
      </c>
      <c r="H18" s="39">
        <v>1663158.13</v>
      </c>
      <c r="I18" s="39">
        <v>32999253.120000001</v>
      </c>
      <c r="J18" s="39">
        <v>2081653.75</v>
      </c>
      <c r="K18" s="39">
        <v>35080906.869999997</v>
      </c>
      <c r="L18" s="43">
        <v>2180</v>
      </c>
    </row>
    <row r="19" spans="1:12" s="40" customFormat="1" ht="13" x14ac:dyDescent="0.3">
      <c r="A19" s="16">
        <v>147</v>
      </c>
      <c r="B19" s="17">
        <v>44</v>
      </c>
      <c r="C19" s="17">
        <v>6</v>
      </c>
      <c r="D19" s="17">
        <v>1</v>
      </c>
      <c r="E19" s="18" t="s">
        <v>32</v>
      </c>
      <c r="F19" s="39">
        <v>217562282.88</v>
      </c>
      <c r="G19" s="39">
        <v>7603858.3300000001</v>
      </c>
      <c r="H19" s="39">
        <v>17197546.800000001</v>
      </c>
      <c r="I19" s="39">
        <v>242363688.00999999</v>
      </c>
      <c r="J19" s="39">
        <v>11655079.300000001</v>
      </c>
      <c r="K19" s="39">
        <v>254018767.31</v>
      </c>
      <c r="L19" s="43">
        <v>14943</v>
      </c>
    </row>
    <row r="20" spans="1:12" s="40" customFormat="1" ht="13" x14ac:dyDescent="0.3">
      <c r="A20" s="16">
        <v>154</v>
      </c>
      <c r="B20" s="17">
        <v>61</v>
      </c>
      <c r="C20" s="17">
        <v>4</v>
      </c>
      <c r="D20" s="17">
        <v>1</v>
      </c>
      <c r="E20" s="18" t="s">
        <v>33</v>
      </c>
      <c r="F20" s="39">
        <v>18022720.27</v>
      </c>
      <c r="G20" s="39">
        <v>828624.86</v>
      </c>
      <c r="H20" s="39">
        <v>2486518.84</v>
      </c>
      <c r="I20" s="39">
        <v>21337863.969999999</v>
      </c>
      <c r="J20" s="39">
        <v>3155161.33</v>
      </c>
      <c r="K20" s="39">
        <v>24493025.300000001</v>
      </c>
      <c r="L20" s="43">
        <v>1352</v>
      </c>
    </row>
    <row r="21" spans="1:12" s="40" customFormat="1" ht="13" x14ac:dyDescent="0.3">
      <c r="A21" s="16">
        <v>161</v>
      </c>
      <c r="B21" s="17">
        <v>33</v>
      </c>
      <c r="C21" s="17">
        <v>3</v>
      </c>
      <c r="D21" s="17">
        <v>1</v>
      </c>
      <c r="E21" s="18" t="s">
        <v>34</v>
      </c>
      <c r="F21" s="39">
        <v>4608616.47</v>
      </c>
      <c r="G21" s="39">
        <v>250294.92</v>
      </c>
      <c r="H21" s="39">
        <v>653456.77</v>
      </c>
      <c r="I21" s="39">
        <v>5512368.1600000001</v>
      </c>
      <c r="J21" s="39">
        <v>245722.53</v>
      </c>
      <c r="K21" s="39">
        <v>5758090.6900000004</v>
      </c>
      <c r="L21" s="43">
        <v>284</v>
      </c>
    </row>
    <row r="22" spans="1:12" s="40" customFormat="1" ht="13" x14ac:dyDescent="0.3">
      <c r="A22" s="16">
        <v>2450</v>
      </c>
      <c r="B22" s="17">
        <v>67</v>
      </c>
      <c r="C22" s="17">
        <v>1</v>
      </c>
      <c r="D22" s="17">
        <v>2</v>
      </c>
      <c r="E22" s="18" t="s">
        <v>35</v>
      </c>
      <c r="F22" s="39">
        <v>28272525.23</v>
      </c>
      <c r="G22" s="39">
        <v>1296715.32</v>
      </c>
      <c r="H22" s="39">
        <v>1910175.8</v>
      </c>
      <c r="I22" s="39">
        <v>31479416.350000001</v>
      </c>
      <c r="J22" s="39">
        <v>944291.33</v>
      </c>
      <c r="K22" s="39">
        <v>32423707.68</v>
      </c>
      <c r="L22" s="43">
        <v>1922</v>
      </c>
    </row>
    <row r="23" spans="1:12" s="40" customFormat="1" ht="13" x14ac:dyDescent="0.3">
      <c r="A23" s="16">
        <v>170</v>
      </c>
      <c r="B23" s="17">
        <v>2</v>
      </c>
      <c r="C23" s="17">
        <v>12</v>
      </c>
      <c r="D23" s="17">
        <v>1</v>
      </c>
      <c r="E23" s="18" t="s">
        <v>36</v>
      </c>
      <c r="F23" s="39">
        <v>29084693.260000002</v>
      </c>
      <c r="G23" s="39">
        <v>1974232.61</v>
      </c>
      <c r="H23" s="39">
        <v>4345897.0199999996</v>
      </c>
      <c r="I23" s="39">
        <v>35404822.890000001</v>
      </c>
      <c r="J23" s="39">
        <v>1236949.45</v>
      </c>
      <c r="K23" s="39">
        <v>36641772.340000004</v>
      </c>
      <c r="L23" s="43">
        <v>1974</v>
      </c>
    </row>
    <row r="24" spans="1:12" s="40" customFormat="1" ht="13" x14ac:dyDescent="0.3">
      <c r="A24" s="16">
        <v>182</v>
      </c>
      <c r="B24" s="17">
        <v>5</v>
      </c>
      <c r="C24" s="17">
        <v>7</v>
      </c>
      <c r="D24" s="17">
        <v>1</v>
      </c>
      <c r="E24" s="18" t="s">
        <v>37</v>
      </c>
      <c r="F24" s="39">
        <v>32908220.420000002</v>
      </c>
      <c r="G24" s="39">
        <v>1290498.29</v>
      </c>
      <c r="H24" s="39">
        <v>1077510.8600000001</v>
      </c>
      <c r="I24" s="39">
        <v>35276229.57</v>
      </c>
      <c r="J24" s="39">
        <v>3117472.11</v>
      </c>
      <c r="K24" s="39">
        <v>38393701.68</v>
      </c>
      <c r="L24" s="43">
        <v>2178</v>
      </c>
    </row>
    <row r="25" spans="1:12" s="40" customFormat="1" ht="13" x14ac:dyDescent="0.3">
      <c r="A25" s="16">
        <v>196</v>
      </c>
      <c r="B25" s="17">
        <v>37</v>
      </c>
      <c r="C25" s="17">
        <v>9</v>
      </c>
      <c r="D25" s="17">
        <v>1</v>
      </c>
      <c r="E25" s="18" t="s">
        <v>38</v>
      </c>
      <c r="F25" s="39">
        <v>6745095.9400000004</v>
      </c>
      <c r="G25" s="39">
        <v>648490.4</v>
      </c>
      <c r="H25" s="39">
        <v>53883.75</v>
      </c>
      <c r="I25" s="39">
        <v>7447470.0899999999</v>
      </c>
      <c r="J25" s="39">
        <v>316008.94</v>
      </c>
      <c r="K25" s="39">
        <v>7763479.0300000003</v>
      </c>
      <c r="L25" s="43">
        <v>470</v>
      </c>
    </row>
    <row r="26" spans="1:12" s="40" customFormat="1" ht="13" x14ac:dyDescent="0.3">
      <c r="A26" s="16">
        <v>203</v>
      </c>
      <c r="B26" s="17">
        <v>71</v>
      </c>
      <c r="C26" s="17">
        <v>5</v>
      </c>
      <c r="D26" s="17">
        <v>1</v>
      </c>
      <c r="E26" s="18" t="s">
        <v>39</v>
      </c>
      <c r="F26" s="39">
        <v>10752492.9</v>
      </c>
      <c r="G26" s="39">
        <v>690284.17</v>
      </c>
      <c r="H26" s="39">
        <v>432520</v>
      </c>
      <c r="I26" s="39">
        <v>11875297.07</v>
      </c>
      <c r="J26" s="39">
        <v>509378.78</v>
      </c>
      <c r="K26" s="39">
        <v>12384675.85</v>
      </c>
      <c r="L26" s="43">
        <v>784</v>
      </c>
    </row>
    <row r="27" spans="1:12" s="40" customFormat="1" ht="13" x14ac:dyDescent="0.3">
      <c r="A27" s="16">
        <v>217</v>
      </c>
      <c r="B27" s="17">
        <v>18</v>
      </c>
      <c r="C27" s="17">
        <v>10</v>
      </c>
      <c r="D27" s="17">
        <v>1</v>
      </c>
      <c r="E27" s="18" t="s">
        <v>40</v>
      </c>
      <c r="F27" s="39">
        <v>10169679.720000001</v>
      </c>
      <c r="G27" s="39">
        <v>1570611.97</v>
      </c>
      <c r="H27" s="39">
        <v>8049018.5099999998</v>
      </c>
      <c r="I27" s="39">
        <v>19789310.199999999</v>
      </c>
      <c r="J27" s="39">
        <v>1570820</v>
      </c>
      <c r="K27" s="39">
        <v>21360130.199999999</v>
      </c>
      <c r="L27" s="43">
        <v>563</v>
      </c>
    </row>
    <row r="28" spans="1:12" s="40" customFormat="1" ht="13" x14ac:dyDescent="0.3">
      <c r="A28" s="16">
        <v>231</v>
      </c>
      <c r="B28" s="17">
        <v>55</v>
      </c>
      <c r="C28" s="17">
        <v>11</v>
      </c>
      <c r="D28" s="17">
        <v>1</v>
      </c>
      <c r="E28" s="18" t="s">
        <v>41</v>
      </c>
      <c r="F28" s="39">
        <v>21588324.359999999</v>
      </c>
      <c r="G28" s="39">
        <v>1038263.88</v>
      </c>
      <c r="H28" s="39">
        <v>2732628.1</v>
      </c>
      <c r="I28" s="39">
        <v>25359216.34</v>
      </c>
      <c r="J28" s="39">
        <v>1895647.79</v>
      </c>
      <c r="K28" s="39">
        <v>27254864.129999999</v>
      </c>
      <c r="L28" s="43">
        <v>1646</v>
      </c>
    </row>
    <row r="29" spans="1:12" s="40" customFormat="1" ht="13" x14ac:dyDescent="0.3">
      <c r="A29" s="16">
        <v>245</v>
      </c>
      <c r="B29" s="17">
        <v>32</v>
      </c>
      <c r="C29" s="17">
        <v>4</v>
      </c>
      <c r="D29" s="17">
        <v>1</v>
      </c>
      <c r="E29" s="18" t="s">
        <v>42</v>
      </c>
      <c r="F29" s="39">
        <v>9810839.9499999993</v>
      </c>
      <c r="G29" s="39">
        <v>798635.91</v>
      </c>
      <c r="H29" s="39">
        <v>1279226.93</v>
      </c>
      <c r="I29" s="39">
        <v>11888702.789999999</v>
      </c>
      <c r="J29" s="39">
        <v>435327.98</v>
      </c>
      <c r="K29" s="39">
        <v>12324030.77</v>
      </c>
      <c r="L29" s="43">
        <v>640</v>
      </c>
    </row>
    <row r="30" spans="1:12" s="40" customFormat="1" ht="13" x14ac:dyDescent="0.3">
      <c r="A30" s="16">
        <v>280</v>
      </c>
      <c r="B30" s="17">
        <v>56</v>
      </c>
      <c r="C30" s="17">
        <v>5</v>
      </c>
      <c r="D30" s="17">
        <v>1</v>
      </c>
      <c r="E30" s="18" t="s">
        <v>43</v>
      </c>
      <c r="F30" s="39">
        <v>38505306.219999999</v>
      </c>
      <c r="G30" s="39">
        <v>1506704.37</v>
      </c>
      <c r="H30" s="39">
        <v>7636864.79</v>
      </c>
      <c r="I30" s="39">
        <v>47648875.380000003</v>
      </c>
      <c r="J30" s="39">
        <v>2256247.46</v>
      </c>
      <c r="K30" s="39">
        <v>49905122.840000004</v>
      </c>
      <c r="L30" s="43">
        <v>2855</v>
      </c>
    </row>
    <row r="31" spans="1:12" s="40" customFormat="1" ht="13" x14ac:dyDescent="0.3">
      <c r="A31" s="16">
        <v>287</v>
      </c>
      <c r="B31" s="17">
        <v>25</v>
      </c>
      <c r="C31" s="17">
        <v>3</v>
      </c>
      <c r="D31" s="17">
        <v>1</v>
      </c>
      <c r="E31" s="18" t="s">
        <v>44</v>
      </c>
      <c r="F31" s="39">
        <v>6495870.1100000003</v>
      </c>
      <c r="G31" s="39">
        <v>186796.36</v>
      </c>
      <c r="H31" s="39">
        <v>2347491.6</v>
      </c>
      <c r="I31" s="39">
        <v>9030158.0700000003</v>
      </c>
      <c r="J31" s="39">
        <v>321529.34999999998</v>
      </c>
      <c r="K31" s="39">
        <v>9351687.4199999999</v>
      </c>
      <c r="L31" s="43">
        <v>411</v>
      </c>
    </row>
    <row r="32" spans="1:12" s="40" customFormat="1" ht="13" x14ac:dyDescent="0.3">
      <c r="A32" s="16">
        <v>308</v>
      </c>
      <c r="B32" s="17">
        <v>3</v>
      </c>
      <c r="C32" s="17">
        <v>11</v>
      </c>
      <c r="D32" s="17">
        <v>1</v>
      </c>
      <c r="E32" s="18" t="s">
        <v>45</v>
      </c>
      <c r="F32" s="39">
        <v>20562084.460000001</v>
      </c>
      <c r="G32" s="39">
        <v>1058380.8400000001</v>
      </c>
      <c r="H32" s="39">
        <v>1656967.21</v>
      </c>
      <c r="I32" s="39">
        <v>23277432.510000002</v>
      </c>
      <c r="J32" s="39">
        <v>1286648.6100000001</v>
      </c>
      <c r="K32" s="39">
        <v>24564081.120000001</v>
      </c>
      <c r="L32" s="43">
        <v>1313</v>
      </c>
    </row>
    <row r="33" spans="1:12" s="40" customFormat="1" ht="13" x14ac:dyDescent="0.3">
      <c r="A33" s="16">
        <v>315</v>
      </c>
      <c r="B33" s="17">
        <v>4</v>
      </c>
      <c r="C33" s="17">
        <v>12</v>
      </c>
      <c r="D33" s="17">
        <v>1</v>
      </c>
      <c r="E33" s="18" t="s">
        <v>46</v>
      </c>
      <c r="F33" s="39">
        <v>12876720.49</v>
      </c>
      <c r="G33" s="39">
        <v>551523.83999999997</v>
      </c>
      <c r="H33" s="39">
        <v>32932.65</v>
      </c>
      <c r="I33" s="39">
        <v>13461176.98</v>
      </c>
      <c r="J33" s="39">
        <v>713546.13</v>
      </c>
      <c r="K33" s="39">
        <v>14174723.109999999</v>
      </c>
      <c r="L33" s="43">
        <v>456</v>
      </c>
    </row>
    <row r="34" spans="1:12" s="40" customFormat="1" ht="13" x14ac:dyDescent="0.3">
      <c r="A34" s="16">
        <v>336</v>
      </c>
      <c r="B34" s="17">
        <v>14</v>
      </c>
      <c r="C34" s="17">
        <v>6</v>
      </c>
      <c r="D34" s="17">
        <v>1</v>
      </c>
      <c r="E34" s="18" t="s">
        <v>47</v>
      </c>
      <c r="F34" s="39">
        <v>46458192.729999997</v>
      </c>
      <c r="G34" s="39">
        <v>1848344.32</v>
      </c>
      <c r="H34" s="39">
        <v>6163868.9000000004</v>
      </c>
      <c r="I34" s="39">
        <v>54470405.950000003</v>
      </c>
      <c r="J34" s="39">
        <v>2891310.34</v>
      </c>
      <c r="K34" s="39">
        <v>57361716.289999999</v>
      </c>
      <c r="L34" s="43">
        <v>3205</v>
      </c>
    </row>
    <row r="35" spans="1:12" s="40" customFormat="1" ht="13" x14ac:dyDescent="0.3">
      <c r="A35" s="16">
        <v>4263</v>
      </c>
      <c r="B35" s="17">
        <v>38</v>
      </c>
      <c r="C35" s="17">
        <v>8</v>
      </c>
      <c r="D35" s="17">
        <v>1</v>
      </c>
      <c r="E35" s="18" t="s">
        <v>48</v>
      </c>
      <c r="F35" s="39">
        <v>5058980.33</v>
      </c>
      <c r="G35" s="39">
        <v>188263.42</v>
      </c>
      <c r="H35" s="39">
        <v>58379.88</v>
      </c>
      <c r="I35" s="39">
        <v>5305623.63</v>
      </c>
      <c r="J35" s="39">
        <v>390732.83</v>
      </c>
      <c r="K35" s="39">
        <v>5696356.46</v>
      </c>
      <c r="L35" s="43">
        <v>273</v>
      </c>
    </row>
    <row r="36" spans="1:12" s="40" customFormat="1" ht="13" x14ac:dyDescent="0.3">
      <c r="A36" s="16">
        <v>350</v>
      </c>
      <c r="B36" s="17">
        <v>13</v>
      </c>
      <c r="C36" s="17">
        <v>2</v>
      </c>
      <c r="D36" s="17">
        <v>1</v>
      </c>
      <c r="E36" s="18" t="s">
        <v>49</v>
      </c>
      <c r="F36" s="39">
        <v>12990190.58</v>
      </c>
      <c r="G36" s="39">
        <v>351356.38</v>
      </c>
      <c r="H36" s="39">
        <v>2198027.3199999998</v>
      </c>
      <c r="I36" s="39">
        <v>15539574.279999999</v>
      </c>
      <c r="J36" s="39">
        <v>787650.39</v>
      </c>
      <c r="K36" s="39">
        <v>16327224.67</v>
      </c>
      <c r="L36" s="43">
        <v>960</v>
      </c>
    </row>
    <row r="37" spans="1:12" s="40" customFormat="1" ht="13" x14ac:dyDescent="0.3">
      <c r="A37" s="16">
        <v>364</v>
      </c>
      <c r="B37" s="17">
        <v>33</v>
      </c>
      <c r="C37" s="17">
        <v>3</v>
      </c>
      <c r="D37" s="17">
        <v>1</v>
      </c>
      <c r="E37" s="18" t="s">
        <v>50</v>
      </c>
      <c r="F37" s="39">
        <v>5466503.1699999999</v>
      </c>
      <c r="G37" s="39">
        <v>186906.99</v>
      </c>
      <c r="H37" s="39">
        <v>632400</v>
      </c>
      <c r="I37" s="39">
        <v>6285810.1600000001</v>
      </c>
      <c r="J37" s="39">
        <v>338997.3</v>
      </c>
      <c r="K37" s="39">
        <v>6624807.46</v>
      </c>
      <c r="L37" s="43">
        <v>358</v>
      </c>
    </row>
    <row r="38" spans="1:12" s="40" customFormat="1" ht="13" x14ac:dyDescent="0.3">
      <c r="A38" s="16">
        <v>413</v>
      </c>
      <c r="B38" s="17">
        <v>53</v>
      </c>
      <c r="C38" s="17">
        <v>2</v>
      </c>
      <c r="D38" s="17">
        <v>1</v>
      </c>
      <c r="E38" s="18" t="s">
        <v>51</v>
      </c>
      <c r="F38" s="39">
        <v>98063239.700000003</v>
      </c>
      <c r="G38" s="39">
        <v>2749929.19</v>
      </c>
      <c r="H38" s="39">
        <v>18025247.109999999</v>
      </c>
      <c r="I38" s="39">
        <v>118838416</v>
      </c>
      <c r="J38" s="39">
        <v>4894414.84</v>
      </c>
      <c r="K38" s="39">
        <v>123732830.84</v>
      </c>
      <c r="L38" s="43">
        <v>6451</v>
      </c>
    </row>
    <row r="39" spans="1:12" s="40" customFormat="1" ht="13" x14ac:dyDescent="0.3">
      <c r="A39" s="16">
        <v>422</v>
      </c>
      <c r="B39" s="17">
        <v>53</v>
      </c>
      <c r="C39" s="17">
        <v>2</v>
      </c>
      <c r="D39" s="17">
        <v>1</v>
      </c>
      <c r="E39" s="18" t="s">
        <v>52</v>
      </c>
      <c r="F39" s="39">
        <v>16477411.76</v>
      </c>
      <c r="G39" s="39">
        <v>1195575.45</v>
      </c>
      <c r="H39" s="39">
        <v>2323959.29</v>
      </c>
      <c r="I39" s="39">
        <v>19996946.5</v>
      </c>
      <c r="J39" s="39">
        <v>1032929.08</v>
      </c>
      <c r="K39" s="39">
        <v>21029875.579999998</v>
      </c>
      <c r="L39" s="43">
        <v>1293</v>
      </c>
    </row>
    <row r="40" spans="1:12" s="40" customFormat="1" ht="13" x14ac:dyDescent="0.3">
      <c r="A40" s="16">
        <v>427</v>
      </c>
      <c r="B40" s="17">
        <v>33</v>
      </c>
      <c r="C40" s="17">
        <v>3</v>
      </c>
      <c r="D40" s="17">
        <v>1</v>
      </c>
      <c r="E40" s="18" t="s">
        <v>53</v>
      </c>
      <c r="F40" s="39">
        <v>3844966.81</v>
      </c>
      <c r="G40" s="39">
        <v>127712.14</v>
      </c>
      <c r="H40" s="39">
        <v>0</v>
      </c>
      <c r="I40" s="39">
        <v>3972678.95</v>
      </c>
      <c r="J40" s="39">
        <v>293519.94</v>
      </c>
      <c r="K40" s="39">
        <v>4266198.8899999997</v>
      </c>
      <c r="L40" s="43">
        <v>254</v>
      </c>
    </row>
    <row r="41" spans="1:12" s="40" customFormat="1" ht="13" x14ac:dyDescent="0.3">
      <c r="A41" s="16">
        <v>434</v>
      </c>
      <c r="B41" s="17">
        <v>24</v>
      </c>
      <c r="C41" s="17">
        <v>6</v>
      </c>
      <c r="D41" s="17">
        <v>1</v>
      </c>
      <c r="E41" s="18" t="s">
        <v>54</v>
      </c>
      <c r="F41" s="39">
        <v>20968749.390000001</v>
      </c>
      <c r="G41" s="39">
        <v>1079971.76</v>
      </c>
      <c r="H41" s="39">
        <v>2639432.21</v>
      </c>
      <c r="I41" s="39">
        <v>24688153.359999999</v>
      </c>
      <c r="J41" s="39">
        <v>830252.83</v>
      </c>
      <c r="K41" s="39">
        <v>25518406.190000001</v>
      </c>
      <c r="L41" s="43">
        <v>1474</v>
      </c>
    </row>
    <row r="42" spans="1:12" s="40" customFormat="1" ht="13" x14ac:dyDescent="0.3">
      <c r="A42" s="16">
        <v>6013</v>
      </c>
      <c r="B42" s="17">
        <v>64</v>
      </c>
      <c r="C42" s="17">
        <v>2</v>
      </c>
      <c r="D42" s="17">
        <v>2</v>
      </c>
      <c r="E42" s="18" t="s">
        <v>55</v>
      </c>
      <c r="F42" s="39">
        <v>8134916.6399999997</v>
      </c>
      <c r="G42" s="39">
        <v>416665.8</v>
      </c>
      <c r="H42" s="39">
        <v>1879860.72</v>
      </c>
      <c r="I42" s="39">
        <v>10431443.16</v>
      </c>
      <c r="J42" s="39">
        <v>1654213.77</v>
      </c>
      <c r="K42" s="39">
        <v>12085656.93</v>
      </c>
      <c r="L42" s="43">
        <v>450</v>
      </c>
    </row>
    <row r="43" spans="1:12" s="40" customFormat="1" ht="13" x14ac:dyDescent="0.3">
      <c r="A43" s="16">
        <v>441</v>
      </c>
      <c r="B43" s="17">
        <v>65</v>
      </c>
      <c r="C43" s="17">
        <v>11</v>
      </c>
      <c r="D43" s="17">
        <v>1</v>
      </c>
      <c r="E43" s="18" t="s">
        <v>56</v>
      </c>
      <c r="F43" s="39">
        <v>4314288.42</v>
      </c>
      <c r="G43" s="39">
        <v>323568.92</v>
      </c>
      <c r="H43" s="39">
        <v>712308.13</v>
      </c>
      <c r="I43" s="39">
        <v>5350165.47</v>
      </c>
      <c r="J43" s="39">
        <v>405720.81</v>
      </c>
      <c r="K43" s="39">
        <v>5755886.2800000003</v>
      </c>
      <c r="L43" s="43">
        <v>183</v>
      </c>
    </row>
    <row r="44" spans="1:12" s="40" customFormat="1" ht="13" x14ac:dyDescent="0.3">
      <c r="A44" s="16">
        <v>2240</v>
      </c>
      <c r="B44" s="17">
        <v>33</v>
      </c>
      <c r="C44" s="17">
        <v>3</v>
      </c>
      <c r="D44" s="17">
        <v>1</v>
      </c>
      <c r="E44" s="18" t="s">
        <v>57</v>
      </c>
      <c r="F44" s="39">
        <v>5499291.5499999998</v>
      </c>
      <c r="G44" s="39">
        <v>221147.04</v>
      </c>
      <c r="H44" s="39">
        <v>604503.04000000004</v>
      </c>
      <c r="I44" s="39">
        <v>6324941.6299999999</v>
      </c>
      <c r="J44" s="39">
        <v>243842.97</v>
      </c>
      <c r="K44" s="39">
        <v>6568784.5999999996</v>
      </c>
      <c r="L44" s="43">
        <v>377</v>
      </c>
    </row>
    <row r="45" spans="1:12" s="40" customFormat="1" ht="13" x14ac:dyDescent="0.3">
      <c r="A45" s="16">
        <v>476</v>
      </c>
      <c r="B45" s="17">
        <v>27</v>
      </c>
      <c r="C45" s="17">
        <v>4</v>
      </c>
      <c r="D45" s="17">
        <v>1</v>
      </c>
      <c r="E45" s="18" t="s">
        <v>58</v>
      </c>
      <c r="F45" s="39">
        <v>25395844.690000001</v>
      </c>
      <c r="G45" s="39">
        <v>1440554</v>
      </c>
      <c r="H45" s="39">
        <v>2954229.55</v>
      </c>
      <c r="I45" s="39">
        <v>29790628.239999998</v>
      </c>
      <c r="J45" s="39">
        <v>1589741.37</v>
      </c>
      <c r="K45" s="39">
        <v>31380369.609999999</v>
      </c>
      <c r="L45" s="43">
        <v>1723</v>
      </c>
    </row>
    <row r="46" spans="1:12" s="40" customFormat="1" ht="13" x14ac:dyDescent="0.3">
      <c r="A46" s="16">
        <v>485</v>
      </c>
      <c r="B46" s="17">
        <v>61</v>
      </c>
      <c r="C46" s="17">
        <v>4</v>
      </c>
      <c r="D46" s="17">
        <v>1</v>
      </c>
      <c r="E46" s="18" t="s">
        <v>59</v>
      </c>
      <c r="F46" s="39">
        <v>9848572</v>
      </c>
      <c r="G46" s="39">
        <v>532788.31999999995</v>
      </c>
      <c r="H46" s="39">
        <v>1626673</v>
      </c>
      <c r="I46" s="39">
        <v>12008033.32</v>
      </c>
      <c r="J46" s="39">
        <v>1202198.19</v>
      </c>
      <c r="K46" s="39">
        <v>13210231.51</v>
      </c>
      <c r="L46" s="43">
        <v>657</v>
      </c>
    </row>
    <row r="47" spans="1:12" s="40" customFormat="1" ht="13" x14ac:dyDescent="0.3">
      <c r="A47" s="16">
        <v>497</v>
      </c>
      <c r="B47" s="17">
        <v>9</v>
      </c>
      <c r="C47" s="17">
        <v>10</v>
      </c>
      <c r="D47" s="17">
        <v>1</v>
      </c>
      <c r="E47" s="18" t="s">
        <v>60</v>
      </c>
      <c r="F47" s="39">
        <v>15898676.77</v>
      </c>
      <c r="G47" s="39">
        <v>1150282.6000000001</v>
      </c>
      <c r="H47" s="39">
        <v>2993486.13</v>
      </c>
      <c r="I47" s="39">
        <v>20042445.5</v>
      </c>
      <c r="J47" s="39">
        <v>838219.55</v>
      </c>
      <c r="K47" s="39">
        <v>20880665.050000001</v>
      </c>
      <c r="L47" s="43">
        <v>1234</v>
      </c>
    </row>
    <row r="48" spans="1:12" s="40" customFormat="1" ht="13" x14ac:dyDescent="0.3">
      <c r="A48" s="16">
        <v>602</v>
      </c>
      <c r="B48" s="17">
        <v>58</v>
      </c>
      <c r="C48" s="17">
        <v>8</v>
      </c>
      <c r="D48" s="17">
        <v>1</v>
      </c>
      <c r="E48" s="18" t="s">
        <v>61</v>
      </c>
      <c r="F48" s="39">
        <v>12208753.23</v>
      </c>
      <c r="G48" s="39">
        <v>630356.24</v>
      </c>
      <c r="H48" s="39">
        <v>942797.44</v>
      </c>
      <c r="I48" s="39">
        <v>13781906.91</v>
      </c>
      <c r="J48" s="39">
        <v>787255.89</v>
      </c>
      <c r="K48" s="39">
        <v>14569162.800000001</v>
      </c>
      <c r="L48" s="43">
        <v>772</v>
      </c>
    </row>
    <row r="49" spans="1:12" s="40" customFormat="1" ht="13" x14ac:dyDescent="0.3">
      <c r="A49" s="16">
        <v>609</v>
      </c>
      <c r="B49" s="17">
        <v>22</v>
      </c>
      <c r="C49" s="17">
        <v>3</v>
      </c>
      <c r="D49" s="17">
        <v>1</v>
      </c>
      <c r="E49" s="18" t="s">
        <v>62</v>
      </c>
      <c r="F49" s="39">
        <v>11416143.07</v>
      </c>
      <c r="G49" s="39">
        <v>609660.64</v>
      </c>
      <c r="H49" s="39">
        <v>211233.73</v>
      </c>
      <c r="I49" s="39">
        <v>12237037.439999999</v>
      </c>
      <c r="J49" s="39">
        <v>478102.59</v>
      </c>
      <c r="K49" s="39">
        <v>12715140.029999999</v>
      </c>
      <c r="L49" s="43">
        <v>745</v>
      </c>
    </row>
    <row r="50" spans="1:12" s="40" customFormat="1" ht="13" x14ac:dyDescent="0.3">
      <c r="A50" s="16">
        <v>623</v>
      </c>
      <c r="B50" s="17">
        <v>58</v>
      </c>
      <c r="C50" s="17">
        <v>8</v>
      </c>
      <c r="D50" s="17">
        <v>1</v>
      </c>
      <c r="E50" s="18" t="s">
        <v>63</v>
      </c>
      <c r="F50" s="39">
        <v>7707783.9199999999</v>
      </c>
      <c r="G50" s="39">
        <v>405620.36</v>
      </c>
      <c r="H50" s="39">
        <v>355810</v>
      </c>
      <c r="I50" s="39">
        <v>8469214.2799999993</v>
      </c>
      <c r="J50" s="39">
        <v>525103.43999999994</v>
      </c>
      <c r="K50" s="39">
        <v>8994317.7200000007</v>
      </c>
      <c r="L50" s="43">
        <v>399</v>
      </c>
    </row>
    <row r="51" spans="1:12" s="40" customFormat="1" ht="13" x14ac:dyDescent="0.3">
      <c r="A51" s="16">
        <v>637</v>
      </c>
      <c r="B51" s="17">
        <v>17</v>
      </c>
      <c r="C51" s="17">
        <v>11</v>
      </c>
      <c r="D51" s="17">
        <v>1</v>
      </c>
      <c r="E51" s="18" t="s">
        <v>64</v>
      </c>
      <c r="F51" s="39">
        <v>9604931.9800000004</v>
      </c>
      <c r="G51" s="39">
        <v>761241.48</v>
      </c>
      <c r="H51" s="39">
        <v>1416447.92</v>
      </c>
      <c r="I51" s="39">
        <v>11782621.380000001</v>
      </c>
      <c r="J51" s="39">
        <v>615476.5</v>
      </c>
      <c r="K51" s="39">
        <v>12398097.880000001</v>
      </c>
      <c r="L51" s="43">
        <v>708</v>
      </c>
    </row>
    <row r="52" spans="1:12" s="40" customFormat="1" ht="13" x14ac:dyDescent="0.3">
      <c r="A52" s="16">
        <v>657</v>
      </c>
      <c r="B52" s="17">
        <v>30</v>
      </c>
      <c r="C52" s="17">
        <v>2</v>
      </c>
      <c r="D52" s="17">
        <v>3</v>
      </c>
      <c r="E52" s="18" t="s">
        <v>65</v>
      </c>
      <c r="F52" s="39">
        <v>1948332.93</v>
      </c>
      <c r="G52" s="39">
        <v>121567.38</v>
      </c>
      <c r="H52" s="39">
        <v>0</v>
      </c>
      <c r="I52" s="39">
        <v>2069900.31</v>
      </c>
      <c r="J52" s="39">
        <v>97051.33</v>
      </c>
      <c r="K52" s="39">
        <v>2166951.64</v>
      </c>
      <c r="L52" s="43">
        <v>137</v>
      </c>
    </row>
    <row r="53" spans="1:12" s="40" customFormat="1" ht="13" x14ac:dyDescent="0.3">
      <c r="A53" s="16">
        <v>658</v>
      </c>
      <c r="B53" s="17">
        <v>8</v>
      </c>
      <c r="C53" s="17">
        <v>7</v>
      </c>
      <c r="D53" s="17">
        <v>1</v>
      </c>
      <c r="E53" s="18" t="s">
        <v>66</v>
      </c>
      <c r="F53" s="39">
        <v>11558923.289999999</v>
      </c>
      <c r="G53" s="39">
        <v>523284.68</v>
      </c>
      <c r="H53" s="39">
        <v>1770702.13</v>
      </c>
      <c r="I53" s="39">
        <v>13852910.1</v>
      </c>
      <c r="J53" s="39">
        <v>910294.05</v>
      </c>
      <c r="K53" s="39">
        <v>14763204.15</v>
      </c>
      <c r="L53" s="43">
        <v>905</v>
      </c>
    </row>
    <row r="54" spans="1:12" s="40" customFormat="1" ht="13" x14ac:dyDescent="0.3">
      <c r="A54" s="16">
        <v>665</v>
      </c>
      <c r="B54" s="17">
        <v>30</v>
      </c>
      <c r="C54" s="17">
        <v>2</v>
      </c>
      <c r="D54" s="17">
        <v>3</v>
      </c>
      <c r="E54" s="18" t="s">
        <v>67</v>
      </c>
      <c r="F54" s="39">
        <v>9431866.7699999996</v>
      </c>
      <c r="G54" s="39">
        <v>416883.17</v>
      </c>
      <c r="H54" s="39">
        <v>1896397.91</v>
      </c>
      <c r="I54" s="39">
        <v>11745147.85</v>
      </c>
      <c r="J54" s="39">
        <v>343612.38</v>
      </c>
      <c r="K54" s="39">
        <v>12088760.23</v>
      </c>
      <c r="L54" s="43">
        <v>710</v>
      </c>
    </row>
    <row r="55" spans="1:12" s="40" customFormat="1" ht="13" x14ac:dyDescent="0.3">
      <c r="A55" s="16">
        <v>700</v>
      </c>
      <c r="B55" s="17">
        <v>23</v>
      </c>
      <c r="C55" s="17">
        <v>2</v>
      </c>
      <c r="D55" s="17">
        <v>1</v>
      </c>
      <c r="E55" s="18" t="s">
        <v>68</v>
      </c>
      <c r="F55" s="39">
        <v>14236357.17</v>
      </c>
      <c r="G55" s="39">
        <v>593110.77</v>
      </c>
      <c r="H55" s="39">
        <v>848079.25</v>
      </c>
      <c r="I55" s="39">
        <v>15677547.189999999</v>
      </c>
      <c r="J55" s="39">
        <v>773169.35</v>
      </c>
      <c r="K55" s="39">
        <v>16450716.539999999</v>
      </c>
      <c r="L55" s="43">
        <v>1031</v>
      </c>
    </row>
    <row r="56" spans="1:12" s="40" customFormat="1" ht="13" x14ac:dyDescent="0.3">
      <c r="A56" s="16">
        <v>721</v>
      </c>
      <c r="B56" s="17">
        <v>40</v>
      </c>
      <c r="C56" s="17">
        <v>1</v>
      </c>
      <c r="D56" s="17">
        <v>1</v>
      </c>
      <c r="E56" s="18" t="s">
        <v>69</v>
      </c>
      <c r="F56" s="39">
        <v>26380802.73</v>
      </c>
      <c r="G56" s="39">
        <v>1043391.61</v>
      </c>
      <c r="H56" s="39">
        <v>2929791.9</v>
      </c>
      <c r="I56" s="39">
        <v>30353986.239999998</v>
      </c>
      <c r="J56" s="39">
        <v>1348224.09</v>
      </c>
      <c r="K56" s="39">
        <v>31702210.329999998</v>
      </c>
      <c r="L56" s="43">
        <v>1874</v>
      </c>
    </row>
    <row r="57" spans="1:12" s="40" customFormat="1" ht="13" x14ac:dyDescent="0.3">
      <c r="A57" s="16">
        <v>735</v>
      </c>
      <c r="B57" s="17">
        <v>54</v>
      </c>
      <c r="C57" s="17">
        <v>10</v>
      </c>
      <c r="D57" s="17">
        <v>1</v>
      </c>
      <c r="E57" s="18" t="s">
        <v>70</v>
      </c>
      <c r="F57" s="39">
        <v>7977530.8799999999</v>
      </c>
      <c r="G57" s="39">
        <v>517500.63</v>
      </c>
      <c r="H57" s="39">
        <v>68407</v>
      </c>
      <c r="I57" s="39">
        <v>8563438.5099999998</v>
      </c>
      <c r="J57" s="39">
        <v>430835.37</v>
      </c>
      <c r="K57" s="39">
        <v>8994273.8800000008</v>
      </c>
      <c r="L57" s="43">
        <v>478</v>
      </c>
    </row>
    <row r="58" spans="1:12" s="40" customFormat="1" ht="13" x14ac:dyDescent="0.3">
      <c r="A58" s="16">
        <v>777</v>
      </c>
      <c r="B58" s="17">
        <v>51</v>
      </c>
      <c r="C58" s="17">
        <v>2</v>
      </c>
      <c r="D58" s="17">
        <v>1</v>
      </c>
      <c r="E58" s="18" t="s">
        <v>71</v>
      </c>
      <c r="F58" s="39">
        <v>45957285.609999999</v>
      </c>
      <c r="G58" s="39">
        <v>2569147.86</v>
      </c>
      <c r="H58" s="39">
        <v>7315142.1600000001</v>
      </c>
      <c r="I58" s="39">
        <v>55841575.630000003</v>
      </c>
      <c r="J58" s="39">
        <v>1920892.82</v>
      </c>
      <c r="K58" s="39">
        <v>57762468.450000003</v>
      </c>
      <c r="L58" s="43">
        <v>3299</v>
      </c>
    </row>
    <row r="59" spans="1:12" s="40" customFormat="1" ht="13" x14ac:dyDescent="0.3">
      <c r="A59" s="16">
        <v>840</v>
      </c>
      <c r="B59" s="17">
        <v>2</v>
      </c>
      <c r="C59" s="17">
        <v>12</v>
      </c>
      <c r="D59" s="17">
        <v>1</v>
      </c>
      <c r="E59" s="18" t="s">
        <v>72</v>
      </c>
      <c r="F59" s="39">
        <v>3165284.93</v>
      </c>
      <c r="G59" s="39">
        <v>167866.67</v>
      </c>
      <c r="H59" s="39">
        <v>0</v>
      </c>
      <c r="I59" s="39">
        <v>3333151.6</v>
      </c>
      <c r="J59" s="39">
        <v>184655.91</v>
      </c>
      <c r="K59" s="39">
        <v>3517807.51</v>
      </c>
      <c r="L59" s="43">
        <v>137</v>
      </c>
    </row>
    <row r="60" spans="1:12" s="40" customFormat="1" ht="13" x14ac:dyDescent="0.3">
      <c r="A60" s="16">
        <v>870</v>
      </c>
      <c r="B60" s="17">
        <v>9</v>
      </c>
      <c r="C60" s="17">
        <v>10</v>
      </c>
      <c r="D60" s="17">
        <v>1</v>
      </c>
      <c r="E60" s="18" t="s">
        <v>73</v>
      </c>
      <c r="F60" s="39">
        <v>13014578.83</v>
      </c>
      <c r="G60" s="39">
        <v>836878.19</v>
      </c>
      <c r="H60" s="39">
        <v>1331741.31</v>
      </c>
      <c r="I60" s="39">
        <v>15183198.33</v>
      </c>
      <c r="J60" s="39">
        <v>659454.69999999995</v>
      </c>
      <c r="K60" s="39">
        <v>15842653.029999999</v>
      </c>
      <c r="L60" s="43">
        <v>845</v>
      </c>
    </row>
    <row r="61" spans="1:12" s="40" customFormat="1" ht="13" x14ac:dyDescent="0.3">
      <c r="A61" s="16">
        <v>882</v>
      </c>
      <c r="B61" s="17">
        <v>11</v>
      </c>
      <c r="C61" s="17">
        <v>5</v>
      </c>
      <c r="D61" s="17">
        <v>1</v>
      </c>
      <c r="E61" s="18" t="s">
        <v>74</v>
      </c>
      <c r="F61" s="39">
        <v>6794921.1799999997</v>
      </c>
      <c r="G61" s="39">
        <v>291272.3</v>
      </c>
      <c r="H61" s="39">
        <v>389129.02</v>
      </c>
      <c r="I61" s="39">
        <v>7475322.5</v>
      </c>
      <c r="J61" s="39">
        <v>566773.23</v>
      </c>
      <c r="K61" s="39">
        <v>8042095.7300000004</v>
      </c>
      <c r="L61" s="43">
        <v>366</v>
      </c>
    </row>
    <row r="62" spans="1:12" s="40" customFormat="1" ht="13" x14ac:dyDescent="0.3">
      <c r="A62" s="16">
        <v>896</v>
      </c>
      <c r="B62" s="17">
        <v>13</v>
      </c>
      <c r="C62" s="17">
        <v>2</v>
      </c>
      <c r="D62" s="17">
        <v>1</v>
      </c>
      <c r="E62" s="18" t="s">
        <v>75</v>
      </c>
      <c r="F62" s="39">
        <v>13676215.960000001</v>
      </c>
      <c r="G62" s="39">
        <v>906583.99</v>
      </c>
      <c r="H62" s="39">
        <v>1345970</v>
      </c>
      <c r="I62" s="39">
        <v>15928769.949999999</v>
      </c>
      <c r="J62" s="39">
        <v>1110874.8400000001</v>
      </c>
      <c r="K62" s="39">
        <v>17039644.789999999</v>
      </c>
      <c r="L62" s="43">
        <v>905</v>
      </c>
    </row>
    <row r="63" spans="1:12" s="40" customFormat="1" ht="13" x14ac:dyDescent="0.3">
      <c r="A63" s="16">
        <v>903</v>
      </c>
      <c r="B63" s="17">
        <v>3</v>
      </c>
      <c r="C63" s="17">
        <v>11</v>
      </c>
      <c r="D63" s="17">
        <v>1</v>
      </c>
      <c r="E63" s="18" t="s">
        <v>76</v>
      </c>
      <c r="F63" s="39">
        <v>12094357.5</v>
      </c>
      <c r="G63" s="39">
        <v>448071.21</v>
      </c>
      <c r="H63" s="39">
        <v>2087591.63</v>
      </c>
      <c r="I63" s="39">
        <v>14630020.34</v>
      </c>
      <c r="J63" s="39">
        <v>1434517.83</v>
      </c>
      <c r="K63" s="39">
        <v>16064538.17</v>
      </c>
      <c r="L63" s="43">
        <v>935</v>
      </c>
    </row>
    <row r="64" spans="1:12" s="40" customFormat="1" ht="13" x14ac:dyDescent="0.3">
      <c r="A64" s="16">
        <v>910</v>
      </c>
      <c r="B64" s="17">
        <v>20</v>
      </c>
      <c r="C64" s="17">
        <v>6</v>
      </c>
      <c r="D64" s="17">
        <v>1</v>
      </c>
      <c r="E64" s="18" t="s">
        <v>77</v>
      </c>
      <c r="F64" s="39">
        <v>18568134.760000002</v>
      </c>
      <c r="G64" s="39">
        <v>1117205.42</v>
      </c>
      <c r="H64" s="39">
        <v>1945841.14</v>
      </c>
      <c r="I64" s="39">
        <v>21631181.32</v>
      </c>
      <c r="J64" s="39">
        <v>734206.78</v>
      </c>
      <c r="K64" s="39">
        <v>22365388.100000001</v>
      </c>
      <c r="L64" s="43">
        <v>1410</v>
      </c>
    </row>
    <row r="65" spans="1:12" s="40" customFormat="1" ht="13" x14ac:dyDescent="0.3">
      <c r="A65" s="16">
        <v>980</v>
      </c>
      <c r="B65" s="17">
        <v>41</v>
      </c>
      <c r="C65" s="17">
        <v>4</v>
      </c>
      <c r="D65" s="17">
        <v>1</v>
      </c>
      <c r="E65" s="18" t="s">
        <v>78</v>
      </c>
      <c r="F65" s="39">
        <v>8204932.8799999999</v>
      </c>
      <c r="G65" s="39">
        <v>636805.17000000004</v>
      </c>
      <c r="H65" s="39">
        <v>1250016.28</v>
      </c>
      <c r="I65" s="39">
        <v>10091754.33</v>
      </c>
      <c r="J65" s="39">
        <v>517460.28</v>
      </c>
      <c r="K65" s="39">
        <v>10609214.609999999</v>
      </c>
      <c r="L65" s="43">
        <v>554</v>
      </c>
    </row>
    <row r="66" spans="1:12" s="40" customFormat="1" ht="13" x14ac:dyDescent="0.3">
      <c r="A66" s="16">
        <v>994</v>
      </c>
      <c r="B66" s="17">
        <v>22</v>
      </c>
      <c r="C66" s="17">
        <v>3</v>
      </c>
      <c r="D66" s="17">
        <v>1</v>
      </c>
      <c r="E66" s="18" t="s">
        <v>79</v>
      </c>
      <c r="F66" s="39">
        <v>4267636.63</v>
      </c>
      <c r="G66" s="39">
        <v>225598.25</v>
      </c>
      <c r="H66" s="39">
        <v>0</v>
      </c>
      <c r="I66" s="39">
        <v>4493234.88</v>
      </c>
      <c r="J66" s="39">
        <v>278550.83</v>
      </c>
      <c r="K66" s="39">
        <v>4771785.71</v>
      </c>
      <c r="L66" s="43">
        <v>228</v>
      </c>
    </row>
    <row r="67" spans="1:12" s="40" customFormat="1" ht="13" x14ac:dyDescent="0.3">
      <c r="A67" s="16">
        <v>1029</v>
      </c>
      <c r="B67" s="17">
        <v>59</v>
      </c>
      <c r="C67" s="17">
        <v>7</v>
      </c>
      <c r="D67" s="17">
        <v>1</v>
      </c>
      <c r="E67" s="18" t="s">
        <v>80</v>
      </c>
      <c r="F67" s="39">
        <v>12633568.449999999</v>
      </c>
      <c r="G67" s="39">
        <v>519484.99</v>
      </c>
      <c r="H67" s="39">
        <v>1487549.81</v>
      </c>
      <c r="I67" s="39">
        <v>14640603.25</v>
      </c>
      <c r="J67" s="39">
        <v>718943.47</v>
      </c>
      <c r="K67" s="39">
        <v>15359546.720000001</v>
      </c>
      <c r="L67" s="43">
        <v>950</v>
      </c>
    </row>
    <row r="68" spans="1:12" s="40" customFormat="1" ht="13" x14ac:dyDescent="0.3">
      <c r="A68" s="16">
        <v>1015</v>
      </c>
      <c r="B68" s="17">
        <v>45</v>
      </c>
      <c r="C68" s="17">
        <v>1</v>
      </c>
      <c r="D68" s="17">
        <v>1</v>
      </c>
      <c r="E68" s="18" t="s">
        <v>81</v>
      </c>
      <c r="F68" s="39">
        <v>38817059.75</v>
      </c>
      <c r="G68" s="39">
        <v>1576858.26</v>
      </c>
      <c r="H68" s="39">
        <v>8184719.0499999998</v>
      </c>
      <c r="I68" s="39">
        <v>48578637.060000002</v>
      </c>
      <c r="J68" s="39">
        <v>1464930.6</v>
      </c>
      <c r="K68" s="39">
        <v>50043567.659999996</v>
      </c>
      <c r="L68" s="43">
        <v>3052</v>
      </c>
    </row>
    <row r="69" spans="1:12" s="40" customFormat="1" ht="13" x14ac:dyDescent="0.3">
      <c r="A69" s="16">
        <v>5054</v>
      </c>
      <c r="B69" s="17">
        <v>30</v>
      </c>
      <c r="C69" s="17">
        <v>2</v>
      </c>
      <c r="D69" s="17">
        <v>2</v>
      </c>
      <c r="E69" s="18" t="s">
        <v>82</v>
      </c>
      <c r="F69" s="39">
        <v>15214310.630000001</v>
      </c>
      <c r="G69" s="39">
        <v>646059.63</v>
      </c>
      <c r="H69" s="39">
        <v>4545020.17</v>
      </c>
      <c r="I69" s="39">
        <v>20405390.43</v>
      </c>
      <c r="J69" s="39">
        <v>771846.13</v>
      </c>
      <c r="K69" s="39">
        <v>21177236.559999999</v>
      </c>
      <c r="L69" s="43">
        <v>1165</v>
      </c>
    </row>
    <row r="70" spans="1:12" s="40" customFormat="1" ht="13" x14ac:dyDescent="0.3">
      <c r="A70" s="16">
        <v>1071</v>
      </c>
      <c r="B70" s="17">
        <v>50</v>
      </c>
      <c r="C70" s="17">
        <v>12</v>
      </c>
      <c r="D70" s="17">
        <v>1</v>
      </c>
      <c r="E70" s="18" t="s">
        <v>83</v>
      </c>
      <c r="F70" s="39">
        <v>11005315.82</v>
      </c>
      <c r="G70" s="39">
        <v>668117.55000000005</v>
      </c>
      <c r="H70" s="39">
        <v>99359</v>
      </c>
      <c r="I70" s="39">
        <v>11772792.369999999</v>
      </c>
      <c r="J70" s="39">
        <v>787234.32</v>
      </c>
      <c r="K70" s="39">
        <v>12560026.689999999</v>
      </c>
      <c r="L70" s="43">
        <v>736</v>
      </c>
    </row>
    <row r="71" spans="1:12" s="40" customFormat="1" ht="13" x14ac:dyDescent="0.3">
      <c r="A71" s="16">
        <v>1080</v>
      </c>
      <c r="B71" s="17">
        <v>3</v>
      </c>
      <c r="C71" s="17">
        <v>11</v>
      </c>
      <c r="D71" s="17">
        <v>1</v>
      </c>
      <c r="E71" s="18" t="s">
        <v>84</v>
      </c>
      <c r="F71" s="39">
        <v>14100853.92</v>
      </c>
      <c r="G71" s="39">
        <v>1213684.45</v>
      </c>
      <c r="H71" s="39">
        <v>1885234.02</v>
      </c>
      <c r="I71" s="39">
        <v>17199772.390000001</v>
      </c>
      <c r="J71" s="39">
        <v>1274157.44</v>
      </c>
      <c r="K71" s="39">
        <v>18473929.829999998</v>
      </c>
      <c r="L71" s="43">
        <v>1046</v>
      </c>
    </row>
    <row r="72" spans="1:12" s="40" customFormat="1" ht="13" x14ac:dyDescent="0.3">
      <c r="A72" s="16">
        <v>1085</v>
      </c>
      <c r="B72" s="17">
        <v>8</v>
      </c>
      <c r="C72" s="17">
        <v>7</v>
      </c>
      <c r="D72" s="17">
        <v>1</v>
      </c>
      <c r="E72" s="18" t="s">
        <v>85</v>
      </c>
      <c r="F72" s="39">
        <v>14329015.52</v>
      </c>
      <c r="G72" s="39">
        <v>552714.05000000005</v>
      </c>
      <c r="H72" s="39">
        <v>2096017.26</v>
      </c>
      <c r="I72" s="39">
        <v>16977746.829999998</v>
      </c>
      <c r="J72" s="39">
        <v>1209385.3999999999</v>
      </c>
      <c r="K72" s="39">
        <v>18187132.23</v>
      </c>
      <c r="L72" s="43">
        <v>1085</v>
      </c>
    </row>
    <row r="73" spans="1:12" s="40" customFormat="1" ht="13" x14ac:dyDescent="0.3">
      <c r="A73" s="16">
        <v>1092</v>
      </c>
      <c r="B73" s="17">
        <v>9</v>
      </c>
      <c r="C73" s="17">
        <v>10</v>
      </c>
      <c r="D73" s="17">
        <v>1</v>
      </c>
      <c r="E73" s="18" t="s">
        <v>86</v>
      </c>
      <c r="F73" s="39">
        <v>67081293.289999999</v>
      </c>
      <c r="G73" s="39">
        <v>4658155.4400000004</v>
      </c>
      <c r="H73" s="39">
        <v>4684312.32</v>
      </c>
      <c r="I73" s="39">
        <v>76423761.049999997</v>
      </c>
      <c r="J73" s="39">
        <v>3799617.58</v>
      </c>
      <c r="K73" s="39">
        <v>80223378.629999995</v>
      </c>
      <c r="L73" s="43">
        <v>4958</v>
      </c>
    </row>
    <row r="74" spans="1:12" s="40" customFormat="1" ht="13" x14ac:dyDescent="0.3">
      <c r="A74" s="16">
        <v>1120</v>
      </c>
      <c r="B74" s="17">
        <v>48</v>
      </c>
      <c r="C74" s="17">
        <v>11</v>
      </c>
      <c r="D74" s="17">
        <v>1</v>
      </c>
      <c r="E74" s="18" t="s">
        <v>87</v>
      </c>
      <c r="F74" s="39">
        <v>5295650.83</v>
      </c>
      <c r="G74" s="39">
        <v>212759.9</v>
      </c>
      <c r="H74" s="39">
        <v>11851</v>
      </c>
      <c r="I74" s="39">
        <v>5520261.7300000004</v>
      </c>
      <c r="J74" s="39">
        <v>531371.75</v>
      </c>
      <c r="K74" s="39">
        <v>6051633.4800000004</v>
      </c>
      <c r="L74" s="43">
        <v>281</v>
      </c>
    </row>
    <row r="75" spans="1:12" s="40" customFormat="1" ht="13" x14ac:dyDescent="0.3">
      <c r="A75" s="16">
        <v>1127</v>
      </c>
      <c r="B75" s="17">
        <v>48</v>
      </c>
      <c r="C75" s="17">
        <v>11</v>
      </c>
      <c r="D75" s="17">
        <v>1</v>
      </c>
      <c r="E75" s="18" t="s">
        <v>88</v>
      </c>
      <c r="F75" s="39">
        <v>8302821.9500000002</v>
      </c>
      <c r="G75" s="39">
        <v>806930.19</v>
      </c>
      <c r="H75" s="39">
        <v>1027766.85</v>
      </c>
      <c r="I75" s="39">
        <v>10137518.99</v>
      </c>
      <c r="J75" s="39">
        <v>788505.53</v>
      </c>
      <c r="K75" s="39">
        <v>10926024.52</v>
      </c>
      <c r="L75" s="43">
        <v>582</v>
      </c>
    </row>
    <row r="76" spans="1:12" s="40" customFormat="1" ht="13" x14ac:dyDescent="0.3">
      <c r="A76" s="16">
        <v>1134</v>
      </c>
      <c r="B76" s="17">
        <v>53</v>
      </c>
      <c r="C76" s="17">
        <v>2</v>
      </c>
      <c r="D76" s="17">
        <v>1</v>
      </c>
      <c r="E76" s="18" t="s">
        <v>89</v>
      </c>
      <c r="F76" s="39">
        <v>15266629.73</v>
      </c>
      <c r="G76" s="39">
        <v>785988.17</v>
      </c>
      <c r="H76" s="39">
        <v>3490050.95</v>
      </c>
      <c r="I76" s="39">
        <v>19542668.850000001</v>
      </c>
      <c r="J76" s="39">
        <v>872317.1</v>
      </c>
      <c r="K76" s="39">
        <v>20414985.949999999</v>
      </c>
      <c r="L76" s="43">
        <v>950</v>
      </c>
    </row>
    <row r="77" spans="1:12" s="40" customFormat="1" ht="13" x14ac:dyDescent="0.3">
      <c r="A77" s="16">
        <v>1141</v>
      </c>
      <c r="B77" s="17">
        <v>68</v>
      </c>
      <c r="C77" s="17">
        <v>8</v>
      </c>
      <c r="D77" s="17">
        <v>1</v>
      </c>
      <c r="E77" s="18" t="s">
        <v>90</v>
      </c>
      <c r="F77" s="39">
        <v>17539680.73</v>
      </c>
      <c r="G77" s="39">
        <v>771168.83</v>
      </c>
      <c r="H77" s="39">
        <v>3656844.89</v>
      </c>
      <c r="I77" s="39">
        <v>21967694.449999999</v>
      </c>
      <c r="J77" s="39">
        <v>2303877.9900000002</v>
      </c>
      <c r="K77" s="39">
        <v>24271572.440000001</v>
      </c>
      <c r="L77" s="43">
        <v>1298</v>
      </c>
    </row>
    <row r="78" spans="1:12" s="40" customFormat="1" ht="13" x14ac:dyDescent="0.3">
      <c r="A78" s="16">
        <v>1155</v>
      </c>
      <c r="B78" s="17">
        <v>6</v>
      </c>
      <c r="C78" s="17">
        <v>4</v>
      </c>
      <c r="D78" s="17">
        <v>1</v>
      </c>
      <c r="E78" s="18" t="s">
        <v>91</v>
      </c>
      <c r="F78" s="39">
        <v>7167499.1600000001</v>
      </c>
      <c r="G78" s="39">
        <v>434935.44</v>
      </c>
      <c r="H78" s="39">
        <v>709692.26</v>
      </c>
      <c r="I78" s="39">
        <v>8312126.8600000003</v>
      </c>
      <c r="J78" s="39">
        <v>563788.6</v>
      </c>
      <c r="K78" s="39">
        <v>8875915.4600000009</v>
      </c>
      <c r="L78" s="43">
        <v>555</v>
      </c>
    </row>
    <row r="79" spans="1:12" s="40" customFormat="1" ht="13" x14ac:dyDescent="0.3">
      <c r="A79" s="16">
        <v>1162</v>
      </c>
      <c r="B79" s="17">
        <v>10</v>
      </c>
      <c r="C79" s="17">
        <v>10</v>
      </c>
      <c r="D79" s="17">
        <v>1</v>
      </c>
      <c r="E79" s="18" t="s">
        <v>92</v>
      </c>
      <c r="F79" s="39">
        <v>14133070.25</v>
      </c>
      <c r="G79" s="39">
        <v>772186.9</v>
      </c>
      <c r="H79" s="39">
        <v>1195951.3</v>
      </c>
      <c r="I79" s="39">
        <v>16101208.449999999</v>
      </c>
      <c r="J79" s="39">
        <v>916120.38</v>
      </c>
      <c r="K79" s="39">
        <v>17017328.829999998</v>
      </c>
      <c r="L79" s="43">
        <v>1019</v>
      </c>
    </row>
    <row r="80" spans="1:12" s="40" customFormat="1" ht="13" x14ac:dyDescent="0.3">
      <c r="A80" s="16">
        <v>1169</v>
      </c>
      <c r="B80" s="17">
        <v>38</v>
      </c>
      <c r="C80" s="17">
        <v>8</v>
      </c>
      <c r="D80" s="17">
        <v>1</v>
      </c>
      <c r="E80" s="18" t="s">
        <v>93</v>
      </c>
      <c r="F80" s="39">
        <v>9482083.5299999993</v>
      </c>
      <c r="G80" s="39">
        <v>654517.69999999995</v>
      </c>
      <c r="H80" s="39">
        <v>1925423.77</v>
      </c>
      <c r="I80" s="39">
        <v>12062025</v>
      </c>
      <c r="J80" s="39">
        <v>675373.95</v>
      </c>
      <c r="K80" s="39">
        <v>12737398.949999999</v>
      </c>
      <c r="L80" s="43">
        <v>752</v>
      </c>
    </row>
    <row r="81" spans="1:12" s="40" customFormat="1" ht="13" x14ac:dyDescent="0.3">
      <c r="A81" s="16">
        <v>1176</v>
      </c>
      <c r="B81" s="17">
        <v>17</v>
      </c>
      <c r="C81" s="17">
        <v>11</v>
      </c>
      <c r="D81" s="17">
        <v>1</v>
      </c>
      <c r="E81" s="18" t="s">
        <v>94</v>
      </c>
      <c r="F81" s="39">
        <v>10096636.550000001</v>
      </c>
      <c r="G81" s="39">
        <v>556442.69999999995</v>
      </c>
      <c r="H81" s="39">
        <v>995819.37</v>
      </c>
      <c r="I81" s="39">
        <v>11648898.619999999</v>
      </c>
      <c r="J81" s="39">
        <v>576441.81000000006</v>
      </c>
      <c r="K81" s="39">
        <v>12225340.43</v>
      </c>
      <c r="L81" s="43">
        <v>745</v>
      </c>
    </row>
    <row r="82" spans="1:12" s="40" customFormat="1" ht="13" x14ac:dyDescent="0.3">
      <c r="A82" s="16">
        <v>1183</v>
      </c>
      <c r="B82" s="17">
        <v>11</v>
      </c>
      <c r="C82" s="17">
        <v>5</v>
      </c>
      <c r="D82" s="17">
        <v>1</v>
      </c>
      <c r="E82" s="18" t="s">
        <v>95</v>
      </c>
      <c r="F82" s="39">
        <v>17287469.829999998</v>
      </c>
      <c r="G82" s="39">
        <v>955204.73</v>
      </c>
      <c r="H82" s="39">
        <v>2854959.5</v>
      </c>
      <c r="I82" s="39">
        <v>21097634.059999999</v>
      </c>
      <c r="J82" s="39">
        <v>996162.88</v>
      </c>
      <c r="K82" s="39">
        <v>22093796.940000001</v>
      </c>
      <c r="L82" s="43">
        <v>1178</v>
      </c>
    </row>
    <row r="83" spans="1:12" s="40" customFormat="1" ht="13" x14ac:dyDescent="0.3">
      <c r="A83" s="16">
        <v>1204</v>
      </c>
      <c r="B83" s="17">
        <v>9</v>
      </c>
      <c r="C83" s="17">
        <v>10</v>
      </c>
      <c r="D83" s="17">
        <v>1</v>
      </c>
      <c r="E83" s="18" t="s">
        <v>96</v>
      </c>
      <c r="F83" s="39">
        <v>5978567.71</v>
      </c>
      <c r="G83" s="39">
        <v>392469.64</v>
      </c>
      <c r="H83" s="39">
        <v>0</v>
      </c>
      <c r="I83" s="39">
        <v>6371037.3499999996</v>
      </c>
      <c r="J83" s="39">
        <v>474497.74</v>
      </c>
      <c r="K83" s="39">
        <v>6845535.0899999999</v>
      </c>
      <c r="L83" s="43">
        <v>436</v>
      </c>
    </row>
    <row r="84" spans="1:12" s="40" customFormat="1" ht="13" x14ac:dyDescent="0.3">
      <c r="A84" s="16">
        <v>1218</v>
      </c>
      <c r="B84" s="17">
        <v>21</v>
      </c>
      <c r="C84" s="17">
        <v>8</v>
      </c>
      <c r="D84" s="17">
        <v>1</v>
      </c>
      <c r="E84" s="18" t="s">
        <v>97</v>
      </c>
      <c r="F84" s="39">
        <v>15485152</v>
      </c>
      <c r="G84" s="39">
        <v>686561.2</v>
      </c>
      <c r="H84" s="39">
        <v>0</v>
      </c>
      <c r="I84" s="39">
        <v>16171713.199999999</v>
      </c>
      <c r="J84" s="39">
        <v>835458.25</v>
      </c>
      <c r="K84" s="39">
        <v>17007171.449999999</v>
      </c>
      <c r="L84" s="43">
        <v>868</v>
      </c>
    </row>
    <row r="85" spans="1:12" s="40" customFormat="1" ht="13" x14ac:dyDescent="0.3">
      <c r="A85" s="16">
        <v>1232</v>
      </c>
      <c r="B85" s="17">
        <v>38</v>
      </c>
      <c r="C85" s="17">
        <v>8</v>
      </c>
      <c r="D85" s="17">
        <v>1</v>
      </c>
      <c r="E85" s="18" t="s">
        <v>98</v>
      </c>
      <c r="F85" s="39">
        <v>10960557.16</v>
      </c>
      <c r="G85" s="39">
        <v>548868.85</v>
      </c>
      <c r="H85" s="39">
        <v>360326</v>
      </c>
      <c r="I85" s="39">
        <v>11869752.01</v>
      </c>
      <c r="J85" s="39">
        <v>588548.46</v>
      </c>
      <c r="K85" s="39">
        <v>12458300.470000001</v>
      </c>
      <c r="L85" s="43">
        <v>784</v>
      </c>
    </row>
    <row r="86" spans="1:12" s="40" customFormat="1" ht="13" x14ac:dyDescent="0.3">
      <c r="A86" s="16">
        <v>1246</v>
      </c>
      <c r="B86" s="17">
        <v>22</v>
      </c>
      <c r="C86" s="17">
        <v>3</v>
      </c>
      <c r="D86" s="17">
        <v>1</v>
      </c>
      <c r="E86" s="18" t="s">
        <v>99</v>
      </c>
      <c r="F86" s="39">
        <v>9587836.9000000004</v>
      </c>
      <c r="G86" s="39">
        <v>560401.65</v>
      </c>
      <c r="H86" s="39">
        <v>1810688.07</v>
      </c>
      <c r="I86" s="39">
        <v>11958926.619999999</v>
      </c>
      <c r="J86" s="39">
        <v>637547.73</v>
      </c>
      <c r="K86" s="39">
        <v>12596474.35</v>
      </c>
      <c r="L86" s="43">
        <v>612</v>
      </c>
    </row>
    <row r="87" spans="1:12" s="40" customFormat="1" ht="13" x14ac:dyDescent="0.3">
      <c r="A87" s="16">
        <v>1253</v>
      </c>
      <c r="B87" s="17">
        <v>40</v>
      </c>
      <c r="C87" s="17">
        <v>1</v>
      </c>
      <c r="D87" s="17">
        <v>1</v>
      </c>
      <c r="E87" s="18" t="s">
        <v>100</v>
      </c>
      <c r="F87" s="39">
        <v>36213007.93</v>
      </c>
      <c r="G87" s="39">
        <v>635201.98</v>
      </c>
      <c r="H87" s="39">
        <v>3576079.15</v>
      </c>
      <c r="I87" s="39">
        <v>40424289.060000002</v>
      </c>
      <c r="J87" s="39">
        <v>2598029.5299999998</v>
      </c>
      <c r="K87" s="39">
        <v>43022318.590000004</v>
      </c>
      <c r="L87" s="43">
        <v>2347</v>
      </c>
    </row>
    <row r="88" spans="1:12" s="40" customFormat="1" ht="13" x14ac:dyDescent="0.3">
      <c r="A88" s="16">
        <v>1260</v>
      </c>
      <c r="B88" s="17">
        <v>3</v>
      </c>
      <c r="C88" s="17">
        <v>11</v>
      </c>
      <c r="D88" s="17">
        <v>1</v>
      </c>
      <c r="E88" s="18" t="s">
        <v>101</v>
      </c>
      <c r="F88" s="39">
        <v>14462189.609999999</v>
      </c>
      <c r="G88" s="39">
        <v>977448.24</v>
      </c>
      <c r="H88" s="39">
        <v>-534625.79</v>
      </c>
      <c r="I88" s="39">
        <v>14905012.060000001</v>
      </c>
      <c r="J88" s="39">
        <v>1016934.66</v>
      </c>
      <c r="K88" s="39">
        <v>15921946.720000001</v>
      </c>
      <c r="L88" s="43">
        <v>905</v>
      </c>
    </row>
    <row r="89" spans="1:12" s="40" customFormat="1" ht="13" x14ac:dyDescent="0.3">
      <c r="A89" s="16">
        <v>4970</v>
      </c>
      <c r="B89" s="17">
        <v>37</v>
      </c>
      <c r="C89" s="17">
        <v>9</v>
      </c>
      <c r="D89" s="17">
        <v>1</v>
      </c>
      <c r="E89" s="18" t="s">
        <v>102</v>
      </c>
      <c r="F89" s="39">
        <v>74553311.950000003</v>
      </c>
      <c r="G89" s="39">
        <v>3362279.48</v>
      </c>
      <c r="H89" s="39">
        <v>13945071.779999999</v>
      </c>
      <c r="I89" s="39">
        <v>91860663.209999993</v>
      </c>
      <c r="J89" s="39">
        <v>6457212.0599999996</v>
      </c>
      <c r="K89" s="39">
        <v>98317875.269999996</v>
      </c>
      <c r="L89" s="43">
        <v>5999</v>
      </c>
    </row>
    <row r="90" spans="1:12" s="40" customFormat="1" ht="13" x14ac:dyDescent="0.3">
      <c r="A90" s="16">
        <v>1295</v>
      </c>
      <c r="B90" s="17">
        <v>33</v>
      </c>
      <c r="C90" s="17">
        <v>3</v>
      </c>
      <c r="D90" s="17">
        <v>1</v>
      </c>
      <c r="E90" s="18" t="s">
        <v>103</v>
      </c>
      <c r="F90" s="39">
        <v>12994239.66</v>
      </c>
      <c r="G90" s="39">
        <v>591366.54</v>
      </c>
      <c r="H90" s="39">
        <v>2393932.23</v>
      </c>
      <c r="I90" s="39">
        <v>15979538.43</v>
      </c>
      <c r="J90" s="39">
        <v>700026.2</v>
      </c>
      <c r="K90" s="39">
        <v>16679564.630000001</v>
      </c>
      <c r="L90" s="43">
        <v>908</v>
      </c>
    </row>
    <row r="91" spans="1:12" s="40" customFormat="1" ht="13" x14ac:dyDescent="0.3">
      <c r="A91" s="16">
        <v>1309</v>
      </c>
      <c r="B91" s="17">
        <v>13</v>
      </c>
      <c r="C91" s="17">
        <v>2</v>
      </c>
      <c r="D91" s="17">
        <v>1</v>
      </c>
      <c r="E91" s="18" t="s">
        <v>104</v>
      </c>
      <c r="F91" s="39">
        <v>10825321.75</v>
      </c>
      <c r="G91" s="39">
        <v>437105.65</v>
      </c>
      <c r="H91" s="39">
        <v>2719360.99</v>
      </c>
      <c r="I91" s="39">
        <v>13981788.390000001</v>
      </c>
      <c r="J91" s="39">
        <v>575425.89</v>
      </c>
      <c r="K91" s="39">
        <v>14557214.279999999</v>
      </c>
      <c r="L91" s="43">
        <v>785</v>
      </c>
    </row>
    <row r="92" spans="1:12" s="40" customFormat="1" ht="13" x14ac:dyDescent="0.3">
      <c r="A92" s="16">
        <v>1316</v>
      </c>
      <c r="B92" s="17">
        <v>13</v>
      </c>
      <c r="C92" s="17">
        <v>2</v>
      </c>
      <c r="D92" s="17">
        <v>1</v>
      </c>
      <c r="E92" s="18" t="s">
        <v>105</v>
      </c>
      <c r="F92" s="39">
        <v>58643159.619999997</v>
      </c>
      <c r="G92" s="39">
        <v>2109546.38</v>
      </c>
      <c r="H92" s="39">
        <v>17979658.59</v>
      </c>
      <c r="I92" s="39">
        <v>78732364.590000004</v>
      </c>
      <c r="J92" s="39">
        <v>2449451.9</v>
      </c>
      <c r="K92" s="39">
        <v>81181816.489999995</v>
      </c>
      <c r="L92" s="43">
        <v>4118</v>
      </c>
    </row>
    <row r="93" spans="1:12" s="40" customFormat="1" ht="13" x14ac:dyDescent="0.3">
      <c r="A93" s="16">
        <v>1380</v>
      </c>
      <c r="B93" s="17">
        <v>64</v>
      </c>
      <c r="C93" s="17">
        <v>2</v>
      </c>
      <c r="D93" s="17">
        <v>1</v>
      </c>
      <c r="E93" s="18" t="s">
        <v>106</v>
      </c>
      <c r="F93" s="39">
        <v>34326406.759999998</v>
      </c>
      <c r="G93" s="39">
        <v>1404839.88</v>
      </c>
      <c r="H93" s="39">
        <v>3549895.19</v>
      </c>
      <c r="I93" s="39">
        <v>39281141.829999998</v>
      </c>
      <c r="J93" s="39">
        <v>1652197.08</v>
      </c>
      <c r="K93" s="39">
        <v>40933338.909999996</v>
      </c>
      <c r="L93" s="43">
        <v>2424</v>
      </c>
    </row>
    <row r="94" spans="1:12" s="40" customFormat="1" ht="13" x14ac:dyDescent="0.3">
      <c r="A94" s="16">
        <v>1407</v>
      </c>
      <c r="B94" s="17">
        <v>5</v>
      </c>
      <c r="C94" s="17">
        <v>7</v>
      </c>
      <c r="D94" s="17">
        <v>1</v>
      </c>
      <c r="E94" s="18" t="s">
        <v>107</v>
      </c>
      <c r="F94" s="39">
        <v>20024793.550000001</v>
      </c>
      <c r="G94" s="39">
        <v>821587.8</v>
      </c>
      <c r="H94" s="39">
        <v>2384769.88</v>
      </c>
      <c r="I94" s="39">
        <v>23231151.23</v>
      </c>
      <c r="J94" s="39">
        <v>1286689.95</v>
      </c>
      <c r="K94" s="39">
        <v>24517841.18</v>
      </c>
      <c r="L94" s="43">
        <v>1526</v>
      </c>
    </row>
    <row r="95" spans="1:12" s="40" customFormat="1" ht="13" x14ac:dyDescent="0.3">
      <c r="A95" s="16">
        <v>1414</v>
      </c>
      <c r="B95" s="17">
        <v>5</v>
      </c>
      <c r="C95" s="17">
        <v>7</v>
      </c>
      <c r="D95" s="17">
        <v>1</v>
      </c>
      <c r="E95" s="18" t="s">
        <v>108</v>
      </c>
      <c r="F95" s="39">
        <v>52991629.170000002</v>
      </c>
      <c r="G95" s="39">
        <v>1559423.32</v>
      </c>
      <c r="H95" s="39">
        <v>1448864.93</v>
      </c>
      <c r="I95" s="39">
        <v>55999917.420000002</v>
      </c>
      <c r="J95" s="39">
        <v>2855650.71</v>
      </c>
      <c r="K95" s="39">
        <v>58855568.130000003</v>
      </c>
      <c r="L95" s="43">
        <v>4345</v>
      </c>
    </row>
    <row r="96" spans="1:12" s="40" customFormat="1" ht="13" x14ac:dyDescent="0.3">
      <c r="A96" s="16">
        <v>1421</v>
      </c>
      <c r="B96" s="17">
        <v>62</v>
      </c>
      <c r="C96" s="17">
        <v>4</v>
      </c>
      <c r="D96" s="17">
        <v>1</v>
      </c>
      <c r="E96" s="18" t="s">
        <v>109</v>
      </c>
      <c r="F96" s="39">
        <v>8016325.9400000004</v>
      </c>
      <c r="G96" s="39">
        <v>647380.82999999996</v>
      </c>
      <c r="H96" s="39">
        <v>484350</v>
      </c>
      <c r="I96" s="39">
        <v>9148056.7699999996</v>
      </c>
      <c r="J96" s="39">
        <v>421135.67</v>
      </c>
      <c r="K96" s="39">
        <v>9569192.4399999995</v>
      </c>
      <c r="L96" s="43">
        <v>522</v>
      </c>
    </row>
    <row r="97" spans="1:12" s="40" customFormat="1" ht="13" x14ac:dyDescent="0.3">
      <c r="A97" s="16">
        <v>2744</v>
      </c>
      <c r="B97" s="17">
        <v>14</v>
      </c>
      <c r="C97" s="17">
        <v>6</v>
      </c>
      <c r="D97" s="17">
        <v>1</v>
      </c>
      <c r="E97" s="18" t="s">
        <v>110</v>
      </c>
      <c r="F97" s="39">
        <v>10288928.02</v>
      </c>
      <c r="G97" s="39">
        <v>695906.36</v>
      </c>
      <c r="H97" s="39">
        <v>1103550</v>
      </c>
      <c r="I97" s="39">
        <v>12088384.380000001</v>
      </c>
      <c r="J97" s="39">
        <v>526157.52</v>
      </c>
      <c r="K97" s="39">
        <v>12614541.9</v>
      </c>
      <c r="L97" s="43">
        <v>708</v>
      </c>
    </row>
    <row r="98" spans="1:12" s="40" customFormat="1" ht="13" x14ac:dyDescent="0.3">
      <c r="A98" s="16">
        <v>1428</v>
      </c>
      <c r="B98" s="17">
        <v>25</v>
      </c>
      <c r="C98" s="17">
        <v>3</v>
      </c>
      <c r="D98" s="17">
        <v>1</v>
      </c>
      <c r="E98" s="18" t="s">
        <v>111</v>
      </c>
      <c r="F98" s="39">
        <v>17247298.98</v>
      </c>
      <c r="G98" s="39">
        <v>828969.32</v>
      </c>
      <c r="H98" s="39">
        <v>2433519.54</v>
      </c>
      <c r="I98" s="39">
        <v>20509787.84</v>
      </c>
      <c r="J98" s="39">
        <v>946627.72</v>
      </c>
      <c r="K98" s="39">
        <v>21456415.559999999</v>
      </c>
      <c r="L98" s="43">
        <v>1192</v>
      </c>
    </row>
    <row r="99" spans="1:12" s="40" customFormat="1" ht="13" x14ac:dyDescent="0.3">
      <c r="A99" s="16">
        <v>1449</v>
      </c>
      <c r="B99" s="17">
        <v>51</v>
      </c>
      <c r="C99" s="17">
        <v>2</v>
      </c>
      <c r="D99" s="17">
        <v>3</v>
      </c>
      <c r="E99" s="18" t="s">
        <v>112</v>
      </c>
      <c r="F99" s="39">
        <v>1326556.45</v>
      </c>
      <c r="G99" s="39">
        <v>59269.440000000002</v>
      </c>
      <c r="H99" s="39">
        <v>27052.12</v>
      </c>
      <c r="I99" s="39">
        <v>1412878.01</v>
      </c>
      <c r="J99" s="39">
        <v>0</v>
      </c>
      <c r="K99" s="39">
        <v>1412878.01</v>
      </c>
      <c r="L99" s="43">
        <v>83</v>
      </c>
    </row>
    <row r="100" spans="1:12" s="40" customFormat="1" ht="13" x14ac:dyDescent="0.3">
      <c r="A100" s="16">
        <v>1491</v>
      </c>
      <c r="B100" s="17">
        <v>4</v>
      </c>
      <c r="C100" s="17">
        <v>12</v>
      </c>
      <c r="D100" s="17">
        <v>1</v>
      </c>
      <c r="E100" s="18" t="s">
        <v>113</v>
      </c>
      <c r="F100" s="39">
        <v>6070809.0899999999</v>
      </c>
      <c r="G100" s="39">
        <v>709085.64</v>
      </c>
      <c r="H100" s="39">
        <v>0</v>
      </c>
      <c r="I100" s="39">
        <v>6779894.7300000004</v>
      </c>
      <c r="J100" s="39">
        <v>279074.34999999998</v>
      </c>
      <c r="K100" s="39">
        <v>7058969.0800000001</v>
      </c>
      <c r="L100" s="43">
        <v>365</v>
      </c>
    </row>
    <row r="101" spans="1:12" s="40" customFormat="1" ht="13" x14ac:dyDescent="0.3">
      <c r="A101" s="16">
        <v>1499</v>
      </c>
      <c r="B101" s="17">
        <v>46</v>
      </c>
      <c r="C101" s="17">
        <v>11</v>
      </c>
      <c r="D101" s="17">
        <v>1</v>
      </c>
      <c r="E101" s="18" t="s">
        <v>114</v>
      </c>
      <c r="F101" s="39">
        <v>13419736.060000001</v>
      </c>
      <c r="G101" s="39">
        <v>1130767.6599999999</v>
      </c>
      <c r="H101" s="39">
        <v>875900</v>
      </c>
      <c r="I101" s="39">
        <v>15426403.720000001</v>
      </c>
      <c r="J101" s="39">
        <v>793904.9</v>
      </c>
      <c r="K101" s="39">
        <v>16220308.619999999</v>
      </c>
      <c r="L101" s="43">
        <v>1041</v>
      </c>
    </row>
    <row r="102" spans="1:12" s="40" customFormat="1" ht="13" x14ac:dyDescent="0.3">
      <c r="A102" s="16">
        <v>1540</v>
      </c>
      <c r="B102" s="17">
        <v>64</v>
      </c>
      <c r="C102" s="17">
        <v>2</v>
      </c>
      <c r="D102" s="17">
        <v>1</v>
      </c>
      <c r="E102" s="18" t="s">
        <v>115</v>
      </c>
      <c r="F102" s="39">
        <v>23445749.98</v>
      </c>
      <c r="G102" s="39">
        <v>1208468.24</v>
      </c>
      <c r="H102" s="39">
        <v>2486169.2400000002</v>
      </c>
      <c r="I102" s="39">
        <v>27140387.460000001</v>
      </c>
      <c r="J102" s="39">
        <v>976704.27</v>
      </c>
      <c r="K102" s="39">
        <v>28117091.73</v>
      </c>
      <c r="L102" s="43">
        <v>1618</v>
      </c>
    </row>
    <row r="103" spans="1:12" s="40" customFormat="1" ht="13" x14ac:dyDescent="0.3">
      <c r="A103" s="16">
        <v>1554</v>
      </c>
      <c r="B103" s="17">
        <v>18</v>
      </c>
      <c r="C103" s="17">
        <v>10</v>
      </c>
      <c r="D103" s="17">
        <v>1</v>
      </c>
      <c r="E103" s="18" t="s">
        <v>116</v>
      </c>
      <c r="F103" s="39">
        <v>165741085.50999999</v>
      </c>
      <c r="G103" s="39">
        <v>7688021.6799999997</v>
      </c>
      <c r="H103" s="39">
        <v>14945608.66</v>
      </c>
      <c r="I103" s="39">
        <v>188374715.84999999</v>
      </c>
      <c r="J103" s="39">
        <v>7150944.04</v>
      </c>
      <c r="K103" s="39">
        <v>195525659.88999999</v>
      </c>
      <c r="L103" s="43">
        <v>11475</v>
      </c>
    </row>
    <row r="104" spans="1:12" s="40" customFormat="1" ht="13" x14ac:dyDescent="0.3">
      <c r="A104" s="16">
        <v>1561</v>
      </c>
      <c r="B104" s="17">
        <v>37</v>
      </c>
      <c r="C104" s="17">
        <v>9</v>
      </c>
      <c r="D104" s="17">
        <v>1</v>
      </c>
      <c r="E104" s="18" t="s">
        <v>117</v>
      </c>
      <c r="F104" s="39">
        <v>9091585.9700000007</v>
      </c>
      <c r="G104" s="39">
        <v>568747.41</v>
      </c>
      <c r="H104" s="39">
        <v>1257061.43</v>
      </c>
      <c r="I104" s="39">
        <v>10917394.810000001</v>
      </c>
      <c r="J104" s="39">
        <v>549705.34</v>
      </c>
      <c r="K104" s="39">
        <v>11467100.15</v>
      </c>
      <c r="L104" s="43">
        <v>628</v>
      </c>
    </row>
    <row r="105" spans="1:12" s="40" customFormat="1" ht="13" x14ac:dyDescent="0.3">
      <c r="A105" s="16">
        <v>1568</v>
      </c>
      <c r="B105" s="17">
        <v>53</v>
      </c>
      <c r="C105" s="17">
        <v>2</v>
      </c>
      <c r="D105" s="17">
        <v>1</v>
      </c>
      <c r="E105" s="18" t="s">
        <v>118</v>
      </c>
      <c r="F105" s="39">
        <v>27777762.260000002</v>
      </c>
      <c r="G105" s="39">
        <v>1173349.24</v>
      </c>
      <c r="H105" s="39">
        <v>6417815.8899999997</v>
      </c>
      <c r="I105" s="39">
        <v>35368927.390000001</v>
      </c>
      <c r="J105" s="39">
        <v>1466394.44</v>
      </c>
      <c r="K105" s="39">
        <v>36835321.829999998</v>
      </c>
      <c r="L105" s="43">
        <v>1986</v>
      </c>
    </row>
    <row r="106" spans="1:12" s="40" customFormat="1" ht="13" x14ac:dyDescent="0.3">
      <c r="A106" s="16">
        <v>1582</v>
      </c>
      <c r="B106" s="17">
        <v>34</v>
      </c>
      <c r="C106" s="17">
        <v>9</v>
      </c>
      <c r="D106" s="17">
        <v>1</v>
      </c>
      <c r="E106" s="18" t="s">
        <v>119</v>
      </c>
      <c r="F106" s="39">
        <v>4600145.4400000004</v>
      </c>
      <c r="G106" s="39">
        <v>406130.31</v>
      </c>
      <c r="H106" s="39">
        <v>1294121.46</v>
      </c>
      <c r="I106" s="39">
        <v>6300397.21</v>
      </c>
      <c r="J106" s="39">
        <v>497777.79</v>
      </c>
      <c r="K106" s="39">
        <v>6798175</v>
      </c>
      <c r="L106" s="43">
        <v>242</v>
      </c>
    </row>
    <row r="107" spans="1:12" s="40" customFormat="1" ht="13" x14ac:dyDescent="0.3">
      <c r="A107" s="16">
        <v>1600</v>
      </c>
      <c r="B107" s="17">
        <v>61</v>
      </c>
      <c r="C107" s="17">
        <v>10</v>
      </c>
      <c r="D107" s="17">
        <v>1</v>
      </c>
      <c r="E107" s="18" t="s">
        <v>120</v>
      </c>
      <c r="F107" s="39">
        <v>9392886.9700000007</v>
      </c>
      <c r="G107" s="39">
        <v>481438.7</v>
      </c>
      <c r="H107" s="39">
        <v>1320021.48</v>
      </c>
      <c r="I107" s="39">
        <v>11194347.15</v>
      </c>
      <c r="J107" s="39">
        <v>465568.9</v>
      </c>
      <c r="K107" s="39">
        <v>11659916.050000001</v>
      </c>
      <c r="L107" s="43">
        <v>661</v>
      </c>
    </row>
    <row r="108" spans="1:12" s="40" customFormat="1" ht="13" x14ac:dyDescent="0.3">
      <c r="A108" s="16">
        <v>1645</v>
      </c>
      <c r="B108" s="17">
        <v>17</v>
      </c>
      <c r="C108" s="17">
        <v>11</v>
      </c>
      <c r="D108" s="17">
        <v>1</v>
      </c>
      <c r="E108" s="18" t="s">
        <v>121</v>
      </c>
      <c r="F108" s="39">
        <v>12946181.92</v>
      </c>
      <c r="G108" s="39">
        <v>626881.59</v>
      </c>
      <c r="H108" s="39">
        <v>1243877.92</v>
      </c>
      <c r="I108" s="39">
        <v>14816941.43</v>
      </c>
      <c r="J108" s="39">
        <v>727861.62</v>
      </c>
      <c r="K108" s="39">
        <v>15544803.050000001</v>
      </c>
      <c r="L108" s="43">
        <v>1048</v>
      </c>
    </row>
    <row r="109" spans="1:12" s="40" customFormat="1" ht="13" x14ac:dyDescent="0.3">
      <c r="A109" s="16">
        <v>1631</v>
      </c>
      <c r="B109" s="17">
        <v>59</v>
      </c>
      <c r="C109" s="17">
        <v>7</v>
      </c>
      <c r="D109" s="17">
        <v>1</v>
      </c>
      <c r="E109" s="18" t="s">
        <v>122</v>
      </c>
      <c r="F109" s="39">
        <v>6807605.3200000003</v>
      </c>
      <c r="G109" s="39">
        <v>262906.28999999998</v>
      </c>
      <c r="H109" s="39">
        <v>264169.56</v>
      </c>
      <c r="I109" s="39">
        <v>7334681.1699999999</v>
      </c>
      <c r="J109" s="39">
        <v>317433.81</v>
      </c>
      <c r="K109" s="39">
        <v>7652114.9800000004</v>
      </c>
      <c r="L109" s="43">
        <v>448</v>
      </c>
    </row>
    <row r="110" spans="1:12" s="40" customFormat="1" ht="13" x14ac:dyDescent="0.3">
      <c r="A110" s="16">
        <v>1638</v>
      </c>
      <c r="B110" s="17">
        <v>64</v>
      </c>
      <c r="C110" s="17">
        <v>2</v>
      </c>
      <c r="D110" s="17">
        <v>1</v>
      </c>
      <c r="E110" s="18" t="s">
        <v>123</v>
      </c>
      <c r="F110" s="39">
        <v>37736623.490000002</v>
      </c>
      <c r="G110" s="39">
        <v>2733116.45</v>
      </c>
      <c r="H110" s="39">
        <v>8095882.8799999999</v>
      </c>
      <c r="I110" s="39">
        <v>48565622.82</v>
      </c>
      <c r="J110" s="39">
        <v>2423338.9</v>
      </c>
      <c r="K110" s="39">
        <v>50988961.719999999</v>
      </c>
      <c r="L110" s="43">
        <v>2938</v>
      </c>
    </row>
    <row r="111" spans="1:12" s="40" customFormat="1" ht="13" x14ac:dyDescent="0.3">
      <c r="A111" s="16">
        <v>1659</v>
      </c>
      <c r="B111" s="17">
        <v>47</v>
      </c>
      <c r="C111" s="17">
        <v>11</v>
      </c>
      <c r="D111" s="17">
        <v>1</v>
      </c>
      <c r="E111" s="18" t="s">
        <v>124</v>
      </c>
      <c r="F111" s="39">
        <v>22301150.09</v>
      </c>
      <c r="G111" s="39">
        <v>1758327.26</v>
      </c>
      <c r="H111" s="39">
        <v>2727541.86</v>
      </c>
      <c r="I111" s="39">
        <v>26787019.210000001</v>
      </c>
      <c r="J111" s="39">
        <v>1687240.89</v>
      </c>
      <c r="K111" s="39">
        <v>28474260.100000001</v>
      </c>
      <c r="L111" s="43">
        <v>1683</v>
      </c>
    </row>
    <row r="112" spans="1:12" s="40" customFormat="1" ht="13" x14ac:dyDescent="0.3">
      <c r="A112" s="16">
        <v>714</v>
      </c>
      <c r="B112" s="17">
        <v>67</v>
      </c>
      <c r="C112" s="17">
        <v>1</v>
      </c>
      <c r="D112" s="17">
        <v>1</v>
      </c>
      <c r="E112" s="18" t="s">
        <v>125</v>
      </c>
      <c r="F112" s="39">
        <v>107359280.05</v>
      </c>
      <c r="G112" s="39">
        <v>5629994.1299999999</v>
      </c>
      <c r="H112" s="39">
        <v>9063880.75</v>
      </c>
      <c r="I112" s="39">
        <v>122053154.93000001</v>
      </c>
      <c r="J112" s="39">
        <v>5391187.8399999999</v>
      </c>
      <c r="K112" s="39">
        <v>127444342.77</v>
      </c>
      <c r="L112" s="43">
        <v>8092</v>
      </c>
    </row>
    <row r="113" spans="1:12" s="40" customFormat="1" ht="13" x14ac:dyDescent="0.3">
      <c r="A113" s="16">
        <v>1666</v>
      </c>
      <c r="B113" s="17">
        <v>47</v>
      </c>
      <c r="C113" s="17">
        <v>11</v>
      </c>
      <c r="D113" s="17">
        <v>1</v>
      </c>
      <c r="E113" s="18" t="s">
        <v>126</v>
      </c>
      <c r="F113" s="39">
        <v>4880809.66</v>
      </c>
      <c r="G113" s="39">
        <v>350730.62</v>
      </c>
      <c r="H113" s="39">
        <v>100000</v>
      </c>
      <c r="I113" s="39">
        <v>5331540.28</v>
      </c>
      <c r="J113" s="39">
        <v>436662.56</v>
      </c>
      <c r="K113" s="39">
        <v>5768202.8399999999</v>
      </c>
      <c r="L113" s="43">
        <v>291</v>
      </c>
    </row>
    <row r="114" spans="1:12" s="40" customFormat="1" ht="13" x14ac:dyDescent="0.3">
      <c r="A114" s="16">
        <v>1687</v>
      </c>
      <c r="B114" s="17">
        <v>66</v>
      </c>
      <c r="C114" s="17">
        <v>6</v>
      </c>
      <c r="D114" s="17">
        <v>3</v>
      </c>
      <c r="E114" s="18" t="s">
        <v>127</v>
      </c>
      <c r="F114" s="39">
        <v>3304706.53</v>
      </c>
      <c r="G114" s="39">
        <v>159758.78</v>
      </c>
      <c r="H114" s="39">
        <v>284963.71000000002</v>
      </c>
      <c r="I114" s="39">
        <v>3749429.02</v>
      </c>
      <c r="J114" s="39">
        <v>347661.94</v>
      </c>
      <c r="K114" s="39">
        <v>4097090.96</v>
      </c>
      <c r="L114" s="43">
        <v>258</v>
      </c>
    </row>
    <row r="115" spans="1:12" s="40" customFormat="1" ht="13" x14ac:dyDescent="0.3">
      <c r="A115" s="16">
        <v>1694</v>
      </c>
      <c r="B115" s="17">
        <v>53</v>
      </c>
      <c r="C115" s="17">
        <v>2</v>
      </c>
      <c r="D115" s="17">
        <v>1</v>
      </c>
      <c r="E115" s="18" t="s">
        <v>128</v>
      </c>
      <c r="F115" s="39">
        <v>22963996.699999999</v>
      </c>
      <c r="G115" s="39">
        <v>1058551.77</v>
      </c>
      <c r="H115" s="39">
        <v>2530434.94</v>
      </c>
      <c r="I115" s="39">
        <v>26552983.41</v>
      </c>
      <c r="J115" s="39">
        <v>876844.58</v>
      </c>
      <c r="K115" s="39">
        <v>27429827.989999998</v>
      </c>
      <c r="L115" s="43">
        <v>1683</v>
      </c>
    </row>
    <row r="116" spans="1:12" s="40" customFormat="1" ht="13" x14ac:dyDescent="0.3">
      <c r="A116" s="16">
        <v>1729</v>
      </c>
      <c r="B116" s="17">
        <v>18</v>
      </c>
      <c r="C116" s="17">
        <v>10</v>
      </c>
      <c r="D116" s="17">
        <v>1</v>
      </c>
      <c r="E116" s="18" t="s">
        <v>129</v>
      </c>
      <c r="F116" s="39">
        <v>9438565.1300000008</v>
      </c>
      <c r="G116" s="39">
        <v>426317.97</v>
      </c>
      <c r="H116" s="39">
        <v>2350082.4</v>
      </c>
      <c r="I116" s="39">
        <v>12214965.5</v>
      </c>
      <c r="J116" s="39">
        <v>556743.96</v>
      </c>
      <c r="K116" s="39">
        <v>12771709.460000001</v>
      </c>
      <c r="L116" s="43">
        <v>777</v>
      </c>
    </row>
    <row r="117" spans="1:12" s="40" customFormat="1" ht="13" x14ac:dyDescent="0.3">
      <c r="A117" s="16">
        <v>1736</v>
      </c>
      <c r="B117" s="17">
        <v>11</v>
      </c>
      <c r="C117" s="17">
        <v>5</v>
      </c>
      <c r="D117" s="17">
        <v>1</v>
      </c>
      <c r="E117" s="18" t="s">
        <v>130</v>
      </c>
      <c r="F117" s="39">
        <v>7262277.0599999996</v>
      </c>
      <c r="G117" s="39">
        <v>110561.49</v>
      </c>
      <c r="H117" s="39">
        <v>619105.76</v>
      </c>
      <c r="I117" s="39">
        <v>7991944.3099999996</v>
      </c>
      <c r="J117" s="39">
        <v>588082.4</v>
      </c>
      <c r="K117" s="39">
        <v>8580026.7100000009</v>
      </c>
      <c r="L117" s="43">
        <v>499</v>
      </c>
    </row>
    <row r="118" spans="1:12" s="40" customFormat="1" ht="13" x14ac:dyDescent="0.3">
      <c r="A118" s="16">
        <v>1813</v>
      </c>
      <c r="B118" s="17">
        <v>22</v>
      </c>
      <c r="C118" s="17">
        <v>3</v>
      </c>
      <c r="D118" s="17">
        <v>1</v>
      </c>
      <c r="E118" s="18" t="s">
        <v>131</v>
      </c>
      <c r="F118" s="39">
        <v>10557942.41</v>
      </c>
      <c r="G118" s="39">
        <v>583429.38</v>
      </c>
      <c r="H118" s="39">
        <v>1697083.41</v>
      </c>
      <c r="I118" s="39">
        <v>12838455.199999999</v>
      </c>
      <c r="J118" s="39">
        <v>622496.61</v>
      </c>
      <c r="K118" s="39">
        <v>13460951.810000001</v>
      </c>
      <c r="L118" s="43">
        <v>744</v>
      </c>
    </row>
    <row r="119" spans="1:12" s="40" customFormat="1" ht="13" x14ac:dyDescent="0.3">
      <c r="A119" s="16">
        <v>5757</v>
      </c>
      <c r="B119" s="17">
        <v>54</v>
      </c>
      <c r="C119" s="17">
        <v>10</v>
      </c>
      <c r="D119" s="17">
        <v>1</v>
      </c>
      <c r="E119" s="18" t="s">
        <v>132</v>
      </c>
      <c r="F119" s="39">
        <v>8562887.3000000007</v>
      </c>
      <c r="G119" s="39">
        <v>884885.28</v>
      </c>
      <c r="H119" s="39">
        <v>513572.49</v>
      </c>
      <c r="I119" s="39">
        <v>9961345.0700000003</v>
      </c>
      <c r="J119" s="39">
        <v>671286.5</v>
      </c>
      <c r="K119" s="39">
        <v>10632631.57</v>
      </c>
      <c r="L119" s="43">
        <v>541</v>
      </c>
    </row>
    <row r="120" spans="1:12" s="40" customFormat="1" ht="13" x14ac:dyDescent="0.3">
      <c r="A120" s="16">
        <v>1855</v>
      </c>
      <c r="B120" s="17">
        <v>19</v>
      </c>
      <c r="C120" s="17">
        <v>8</v>
      </c>
      <c r="D120" s="17">
        <v>1</v>
      </c>
      <c r="E120" s="18" t="s">
        <v>133</v>
      </c>
      <c r="F120" s="39">
        <v>8110640.9299999997</v>
      </c>
      <c r="G120" s="39">
        <v>433351.67999999999</v>
      </c>
      <c r="H120" s="39">
        <v>904782.5</v>
      </c>
      <c r="I120" s="39">
        <v>9448775.1099999994</v>
      </c>
      <c r="J120" s="39">
        <v>264021.77</v>
      </c>
      <c r="K120" s="39">
        <v>9712796.8800000008</v>
      </c>
      <c r="L120" s="43">
        <v>444</v>
      </c>
    </row>
    <row r="121" spans="1:12" s="40" customFormat="1" ht="13" x14ac:dyDescent="0.3">
      <c r="A121" s="16">
        <v>1862</v>
      </c>
      <c r="B121" s="17">
        <v>20</v>
      </c>
      <c r="C121" s="17">
        <v>6</v>
      </c>
      <c r="D121" s="17">
        <v>1</v>
      </c>
      <c r="E121" s="18" t="s">
        <v>134</v>
      </c>
      <c r="F121" s="39">
        <v>104711678.38</v>
      </c>
      <c r="G121" s="39">
        <v>1756359.95</v>
      </c>
      <c r="H121" s="39">
        <v>11614157.67</v>
      </c>
      <c r="I121" s="39">
        <v>118082196</v>
      </c>
      <c r="J121" s="39">
        <v>6280160.0899999999</v>
      </c>
      <c r="K121" s="39">
        <v>124362356.09</v>
      </c>
      <c r="L121" s="43">
        <v>7317</v>
      </c>
    </row>
    <row r="122" spans="1:12" s="40" customFormat="1" ht="13" x14ac:dyDescent="0.3">
      <c r="A122" s="16">
        <v>1870</v>
      </c>
      <c r="B122" s="17">
        <v>64</v>
      </c>
      <c r="C122" s="17">
        <v>2</v>
      </c>
      <c r="D122" s="17">
        <v>3</v>
      </c>
      <c r="E122" s="18" t="s">
        <v>135</v>
      </c>
      <c r="F122" s="39">
        <v>3685510.05</v>
      </c>
      <c r="G122" s="39">
        <v>108713.78</v>
      </c>
      <c r="H122" s="39">
        <v>413414.29</v>
      </c>
      <c r="I122" s="39">
        <v>4207638.12</v>
      </c>
      <c r="J122" s="39">
        <v>555329.52</v>
      </c>
      <c r="K122" s="39">
        <v>4762967.6399999997</v>
      </c>
      <c r="L122" s="43">
        <v>139</v>
      </c>
    </row>
    <row r="123" spans="1:12" s="40" customFormat="1" ht="13" x14ac:dyDescent="0.3">
      <c r="A123" s="16">
        <v>1883</v>
      </c>
      <c r="B123" s="17">
        <v>28</v>
      </c>
      <c r="C123" s="17">
        <v>2</v>
      </c>
      <c r="D123" s="17">
        <v>1</v>
      </c>
      <c r="E123" s="18" t="s">
        <v>136</v>
      </c>
      <c r="F123" s="39">
        <v>40455521.229999997</v>
      </c>
      <c r="G123" s="39">
        <v>1122071.22</v>
      </c>
      <c r="H123" s="39">
        <v>9089497.8399999999</v>
      </c>
      <c r="I123" s="39">
        <v>50667090.289999999</v>
      </c>
      <c r="J123" s="39">
        <v>1537844.18</v>
      </c>
      <c r="K123" s="39">
        <v>52204934.469999999</v>
      </c>
      <c r="L123" s="43">
        <v>2542</v>
      </c>
    </row>
    <row r="124" spans="1:12" s="40" customFormat="1" ht="13" x14ac:dyDescent="0.3">
      <c r="A124" s="16">
        <v>1890</v>
      </c>
      <c r="B124" s="17">
        <v>40</v>
      </c>
      <c r="C124" s="17">
        <v>1</v>
      </c>
      <c r="D124" s="17">
        <v>3</v>
      </c>
      <c r="E124" s="18" t="s">
        <v>137</v>
      </c>
      <c r="F124" s="39">
        <v>13144743.810000001</v>
      </c>
      <c r="G124" s="39">
        <v>736319.71</v>
      </c>
      <c r="H124" s="39">
        <v>5590074.0499999998</v>
      </c>
      <c r="I124" s="39">
        <v>19471137.57</v>
      </c>
      <c r="J124" s="39">
        <v>309965.92</v>
      </c>
      <c r="K124" s="39">
        <v>19781103.489999998</v>
      </c>
      <c r="L124" s="43">
        <v>787</v>
      </c>
    </row>
    <row r="125" spans="1:12" s="40" customFormat="1" ht="13" x14ac:dyDescent="0.3">
      <c r="A125" s="16">
        <v>1900</v>
      </c>
      <c r="B125" s="17">
        <v>40</v>
      </c>
      <c r="C125" s="17">
        <v>1</v>
      </c>
      <c r="D125" s="17">
        <v>1</v>
      </c>
      <c r="E125" s="18" t="s">
        <v>138</v>
      </c>
      <c r="F125" s="39">
        <v>59715882.869999997</v>
      </c>
      <c r="G125" s="39">
        <v>2972793.29</v>
      </c>
      <c r="H125" s="39">
        <v>8778383.9499999993</v>
      </c>
      <c r="I125" s="39">
        <v>71467060.109999999</v>
      </c>
      <c r="J125" s="39">
        <v>3907100.84</v>
      </c>
      <c r="K125" s="39">
        <v>75374160.950000003</v>
      </c>
      <c r="L125" s="43">
        <v>4524</v>
      </c>
    </row>
    <row r="126" spans="1:12" s="40" customFormat="1" ht="13" x14ac:dyDescent="0.3">
      <c r="A126" s="16">
        <v>1939</v>
      </c>
      <c r="B126" s="17">
        <v>48</v>
      </c>
      <c r="C126" s="17">
        <v>11</v>
      </c>
      <c r="D126" s="17">
        <v>1</v>
      </c>
      <c r="E126" s="18" t="s">
        <v>139</v>
      </c>
      <c r="F126" s="39">
        <v>7819259.4000000004</v>
      </c>
      <c r="G126" s="39">
        <v>440719.82</v>
      </c>
      <c r="H126" s="39">
        <v>476075</v>
      </c>
      <c r="I126" s="39">
        <v>8736054.2200000007</v>
      </c>
      <c r="J126" s="39">
        <v>1444546.67</v>
      </c>
      <c r="K126" s="39">
        <v>10180600.890000001</v>
      </c>
      <c r="L126" s="43">
        <v>499</v>
      </c>
    </row>
    <row r="127" spans="1:12" s="40" customFormat="1" ht="13" x14ac:dyDescent="0.3">
      <c r="A127" s="16">
        <v>1953</v>
      </c>
      <c r="B127" s="17">
        <v>44</v>
      </c>
      <c r="C127" s="17">
        <v>6</v>
      </c>
      <c r="D127" s="17">
        <v>1</v>
      </c>
      <c r="E127" s="18" t="s">
        <v>140</v>
      </c>
      <c r="F127" s="39">
        <v>21711762.710000001</v>
      </c>
      <c r="G127" s="39">
        <v>920586.23999999999</v>
      </c>
      <c r="H127" s="39">
        <v>0</v>
      </c>
      <c r="I127" s="39">
        <v>22632348.949999999</v>
      </c>
      <c r="J127" s="39">
        <v>617727.53</v>
      </c>
      <c r="K127" s="39">
        <v>23250076.48</v>
      </c>
      <c r="L127" s="43">
        <v>1585</v>
      </c>
    </row>
    <row r="128" spans="1:12" s="40" customFormat="1" ht="13" x14ac:dyDescent="0.3">
      <c r="A128" s="16">
        <v>2009</v>
      </c>
      <c r="B128" s="17">
        <v>61</v>
      </c>
      <c r="C128" s="17">
        <v>4</v>
      </c>
      <c r="D128" s="17">
        <v>1</v>
      </c>
      <c r="E128" s="18" t="s">
        <v>450</v>
      </c>
      <c r="F128" s="39">
        <v>21748549.850000001</v>
      </c>
      <c r="G128" s="39">
        <v>1143671.71</v>
      </c>
      <c r="H128" s="39">
        <v>2010906</v>
      </c>
      <c r="I128" s="39">
        <v>24903127.559999999</v>
      </c>
      <c r="J128" s="39">
        <v>1087385.42</v>
      </c>
      <c r="K128" s="39">
        <v>25990512.98</v>
      </c>
      <c r="L128" s="43">
        <v>1470</v>
      </c>
    </row>
    <row r="129" spans="1:12" s="40" customFormat="1" ht="13" x14ac:dyDescent="0.3">
      <c r="A129" s="16">
        <v>2044</v>
      </c>
      <c r="B129" s="17">
        <v>64</v>
      </c>
      <c r="C129" s="17">
        <v>2</v>
      </c>
      <c r="D129" s="17">
        <v>3</v>
      </c>
      <c r="E129" s="18" t="s">
        <v>141</v>
      </c>
      <c r="F129" s="39">
        <v>2326408.69</v>
      </c>
      <c r="G129" s="39">
        <v>92420.01</v>
      </c>
      <c r="H129" s="39">
        <v>311051</v>
      </c>
      <c r="I129" s="39">
        <v>2729879.7</v>
      </c>
      <c r="J129" s="39">
        <v>65313.93</v>
      </c>
      <c r="K129" s="39">
        <v>2795193.63</v>
      </c>
      <c r="L129" s="43">
        <v>89</v>
      </c>
    </row>
    <row r="130" spans="1:12" s="40" customFormat="1" ht="13" x14ac:dyDescent="0.3">
      <c r="A130" s="16">
        <v>2051</v>
      </c>
      <c r="B130" s="17">
        <v>64</v>
      </c>
      <c r="C130" s="17">
        <v>2</v>
      </c>
      <c r="D130" s="17">
        <v>3</v>
      </c>
      <c r="E130" s="18" t="s">
        <v>142</v>
      </c>
      <c r="F130" s="39">
        <v>8092915.1900000004</v>
      </c>
      <c r="G130" s="39">
        <v>285681.8</v>
      </c>
      <c r="H130" s="39">
        <v>762602.49</v>
      </c>
      <c r="I130" s="39">
        <v>9141199.4800000004</v>
      </c>
      <c r="J130" s="39">
        <v>57854.6</v>
      </c>
      <c r="K130" s="39">
        <v>9199054.0800000001</v>
      </c>
      <c r="L130" s="43">
        <v>561</v>
      </c>
    </row>
    <row r="131" spans="1:12" s="40" customFormat="1" ht="13" x14ac:dyDescent="0.3">
      <c r="A131" s="16">
        <v>2058</v>
      </c>
      <c r="B131" s="17">
        <v>66</v>
      </c>
      <c r="C131" s="17">
        <v>1</v>
      </c>
      <c r="D131" s="17">
        <v>1</v>
      </c>
      <c r="E131" s="18" t="s">
        <v>143</v>
      </c>
      <c r="F131" s="39">
        <v>48827810.450000003</v>
      </c>
      <c r="G131" s="39">
        <v>2525790.5499999998</v>
      </c>
      <c r="H131" s="39">
        <v>26885676.41</v>
      </c>
      <c r="I131" s="39">
        <v>78239277.409999996</v>
      </c>
      <c r="J131" s="39">
        <v>1798099.99</v>
      </c>
      <c r="K131" s="39">
        <v>80037377.400000006</v>
      </c>
      <c r="L131" s="43">
        <v>4025</v>
      </c>
    </row>
    <row r="132" spans="1:12" s="40" customFormat="1" ht="13" x14ac:dyDescent="0.3">
      <c r="A132" s="16">
        <v>2114</v>
      </c>
      <c r="B132" s="17">
        <v>15</v>
      </c>
      <c r="C132" s="17">
        <v>7</v>
      </c>
      <c r="D132" s="17">
        <v>1</v>
      </c>
      <c r="E132" s="18" t="s">
        <v>144</v>
      </c>
      <c r="F132" s="39">
        <v>14264224.470000001</v>
      </c>
      <c r="G132" s="39">
        <v>622868.19999999995</v>
      </c>
      <c r="H132" s="39">
        <v>4143410.8</v>
      </c>
      <c r="I132" s="39">
        <v>19030503.469999999</v>
      </c>
      <c r="J132" s="39">
        <v>360506.53</v>
      </c>
      <c r="K132" s="39">
        <v>19391010</v>
      </c>
      <c r="L132" s="43">
        <v>511</v>
      </c>
    </row>
    <row r="133" spans="1:12" s="40" customFormat="1" ht="13" x14ac:dyDescent="0.3">
      <c r="A133" s="16">
        <v>2128</v>
      </c>
      <c r="B133" s="17">
        <v>42</v>
      </c>
      <c r="C133" s="17">
        <v>8</v>
      </c>
      <c r="D133" s="17">
        <v>1</v>
      </c>
      <c r="E133" s="18" t="s">
        <v>145</v>
      </c>
      <c r="F133" s="39">
        <v>8979232.3300000001</v>
      </c>
      <c r="G133" s="39">
        <v>544382.81999999995</v>
      </c>
      <c r="H133" s="39">
        <v>697357.23</v>
      </c>
      <c r="I133" s="39">
        <v>10220972.380000001</v>
      </c>
      <c r="J133" s="39">
        <v>615007.42000000004</v>
      </c>
      <c r="K133" s="39">
        <v>10835979.800000001</v>
      </c>
      <c r="L133" s="43">
        <v>623</v>
      </c>
    </row>
    <row r="134" spans="1:12" s="40" customFormat="1" ht="13" x14ac:dyDescent="0.3">
      <c r="A134" s="16">
        <v>2135</v>
      </c>
      <c r="B134" s="17">
        <v>60</v>
      </c>
      <c r="C134" s="17">
        <v>10</v>
      </c>
      <c r="D134" s="17">
        <v>1</v>
      </c>
      <c r="E134" s="18" t="s">
        <v>146</v>
      </c>
      <c r="F134" s="39">
        <v>5557629.9199999999</v>
      </c>
      <c r="G134" s="39">
        <v>522686.55</v>
      </c>
      <c r="H134" s="39">
        <v>248124.21</v>
      </c>
      <c r="I134" s="39">
        <v>6328440.6799999997</v>
      </c>
      <c r="J134" s="39">
        <v>276492.44</v>
      </c>
      <c r="K134" s="39">
        <v>6604933.1200000001</v>
      </c>
      <c r="L134" s="43">
        <v>336</v>
      </c>
    </row>
    <row r="135" spans="1:12" s="40" customFormat="1" ht="13" x14ac:dyDescent="0.3">
      <c r="A135" s="16">
        <v>2142</v>
      </c>
      <c r="B135" s="17">
        <v>6</v>
      </c>
      <c r="C135" s="17">
        <v>10</v>
      </c>
      <c r="D135" s="17">
        <v>1</v>
      </c>
      <c r="E135" s="18" t="s">
        <v>147</v>
      </c>
      <c r="F135" s="39">
        <v>2719823.73</v>
      </c>
      <c r="G135" s="39">
        <v>174727.78</v>
      </c>
      <c r="H135" s="39">
        <v>137887</v>
      </c>
      <c r="I135" s="39">
        <v>3032438.51</v>
      </c>
      <c r="J135" s="39">
        <v>128504.89</v>
      </c>
      <c r="K135" s="39">
        <v>3160943.4</v>
      </c>
      <c r="L135" s="43">
        <v>147</v>
      </c>
    </row>
    <row r="136" spans="1:12" s="40" customFormat="1" ht="13" x14ac:dyDescent="0.3">
      <c r="A136" s="16">
        <v>2184</v>
      </c>
      <c r="B136" s="17">
        <v>40</v>
      </c>
      <c r="C136" s="17">
        <v>1</v>
      </c>
      <c r="D136" s="17">
        <v>3</v>
      </c>
      <c r="E136" s="18" t="s">
        <v>148</v>
      </c>
      <c r="F136" s="39">
        <v>19526573.640000001</v>
      </c>
      <c r="G136" s="39">
        <v>1254869.5900000001</v>
      </c>
      <c r="H136" s="39">
        <v>39077.019999999997</v>
      </c>
      <c r="I136" s="39">
        <v>20820520.25</v>
      </c>
      <c r="J136" s="39">
        <v>664982.80000000005</v>
      </c>
      <c r="K136" s="39">
        <v>21485503.050000001</v>
      </c>
      <c r="L136" s="43">
        <v>972</v>
      </c>
    </row>
    <row r="137" spans="1:12" s="40" customFormat="1" ht="13" x14ac:dyDescent="0.3">
      <c r="A137" s="16">
        <v>2198</v>
      </c>
      <c r="B137" s="17">
        <v>55</v>
      </c>
      <c r="C137" s="17">
        <v>11</v>
      </c>
      <c r="D137" s="17">
        <v>1</v>
      </c>
      <c r="E137" s="18" t="s">
        <v>149</v>
      </c>
      <c r="F137" s="39">
        <v>8617862.5899999999</v>
      </c>
      <c r="G137" s="39">
        <v>441204.04</v>
      </c>
      <c r="H137" s="39">
        <v>1047509.01</v>
      </c>
      <c r="I137" s="39">
        <v>10106575.640000001</v>
      </c>
      <c r="J137" s="39">
        <v>1609755.92</v>
      </c>
      <c r="K137" s="39">
        <v>11716331.560000001</v>
      </c>
      <c r="L137" s="43">
        <v>723</v>
      </c>
    </row>
    <row r="138" spans="1:12" s="40" customFormat="1" ht="13" x14ac:dyDescent="0.3">
      <c r="A138" s="16">
        <v>2212</v>
      </c>
      <c r="B138" s="17">
        <v>38</v>
      </c>
      <c r="C138" s="17">
        <v>8</v>
      </c>
      <c r="D138" s="17">
        <v>1</v>
      </c>
      <c r="E138" s="18" t="s">
        <v>150</v>
      </c>
      <c r="F138" s="39">
        <v>2306643.46</v>
      </c>
      <c r="G138" s="39">
        <v>72815.45</v>
      </c>
      <c r="H138" s="39">
        <v>229900</v>
      </c>
      <c r="I138" s="39">
        <v>2609358.91</v>
      </c>
      <c r="J138" s="39">
        <v>118453.01</v>
      </c>
      <c r="K138" s="39">
        <v>2727811.92</v>
      </c>
      <c r="L138" s="43">
        <v>86</v>
      </c>
    </row>
    <row r="139" spans="1:12" s="40" customFormat="1" ht="13" x14ac:dyDescent="0.3">
      <c r="A139" s="16">
        <v>2217</v>
      </c>
      <c r="B139" s="17">
        <v>45</v>
      </c>
      <c r="C139" s="17">
        <v>1</v>
      </c>
      <c r="D139" s="17">
        <v>1</v>
      </c>
      <c r="E139" s="18" t="s">
        <v>151</v>
      </c>
      <c r="F139" s="39">
        <v>27062465.32</v>
      </c>
      <c r="G139" s="39">
        <v>1108395.1000000001</v>
      </c>
      <c r="H139" s="39">
        <v>7632086.4400000004</v>
      </c>
      <c r="I139" s="39">
        <v>35802946.859999999</v>
      </c>
      <c r="J139" s="39">
        <v>1014639.47</v>
      </c>
      <c r="K139" s="39">
        <v>36817586.329999998</v>
      </c>
      <c r="L139" s="43">
        <v>2125</v>
      </c>
    </row>
    <row r="140" spans="1:12" s="40" customFormat="1" ht="13" x14ac:dyDescent="0.3">
      <c r="A140" s="16">
        <v>2226</v>
      </c>
      <c r="B140" s="17">
        <v>10</v>
      </c>
      <c r="C140" s="17">
        <v>10</v>
      </c>
      <c r="D140" s="17">
        <v>1</v>
      </c>
      <c r="E140" s="18" t="s">
        <v>152</v>
      </c>
      <c r="F140" s="39">
        <v>4647970.59</v>
      </c>
      <c r="G140" s="39">
        <v>1728697.17</v>
      </c>
      <c r="H140" s="39">
        <v>210250</v>
      </c>
      <c r="I140" s="39">
        <v>6586917.7599999998</v>
      </c>
      <c r="J140" s="39">
        <v>562695.77</v>
      </c>
      <c r="K140" s="39">
        <v>7149613.5300000003</v>
      </c>
      <c r="L140" s="43">
        <v>257</v>
      </c>
    </row>
    <row r="141" spans="1:12" s="40" customFormat="1" ht="13" x14ac:dyDescent="0.3">
      <c r="A141" s="16">
        <v>2233</v>
      </c>
      <c r="B141" s="17">
        <v>7</v>
      </c>
      <c r="C141" s="17">
        <v>11</v>
      </c>
      <c r="D141" s="17">
        <v>1</v>
      </c>
      <c r="E141" s="18" t="s">
        <v>153</v>
      </c>
      <c r="F141" s="39">
        <v>10807513.08</v>
      </c>
      <c r="G141" s="39">
        <v>802871.06</v>
      </c>
      <c r="H141" s="39">
        <v>2071919.62</v>
      </c>
      <c r="I141" s="39">
        <v>13682303.76</v>
      </c>
      <c r="J141" s="39">
        <v>901564.34</v>
      </c>
      <c r="K141" s="39">
        <v>14583868.1</v>
      </c>
      <c r="L141" s="43">
        <v>886</v>
      </c>
    </row>
    <row r="142" spans="1:12" s="40" customFormat="1" ht="13" x14ac:dyDescent="0.3">
      <c r="A142" s="16">
        <v>2289</v>
      </c>
      <c r="B142" s="17">
        <v>5</v>
      </c>
      <c r="C142" s="17">
        <v>7</v>
      </c>
      <c r="D142" s="17">
        <v>1</v>
      </c>
      <c r="E142" s="18" t="s">
        <v>154</v>
      </c>
      <c r="F142" s="39">
        <v>328871211.25999999</v>
      </c>
      <c r="G142" s="39">
        <v>9849425.9199999999</v>
      </c>
      <c r="H142" s="39">
        <v>47678112.560000002</v>
      </c>
      <c r="I142" s="39">
        <v>386398749.74000001</v>
      </c>
      <c r="J142" s="39">
        <v>16038665.9</v>
      </c>
      <c r="K142" s="39">
        <v>402437415.63999999</v>
      </c>
      <c r="L142" s="43">
        <v>21121</v>
      </c>
    </row>
    <row r="143" spans="1:12" s="40" customFormat="1" ht="13" x14ac:dyDescent="0.3">
      <c r="A143" s="16">
        <v>2310</v>
      </c>
      <c r="B143" s="17">
        <v>24</v>
      </c>
      <c r="C143" s="17">
        <v>6</v>
      </c>
      <c r="D143" s="17">
        <v>1</v>
      </c>
      <c r="E143" s="18" t="s">
        <v>155</v>
      </c>
      <c r="F143" s="39">
        <v>5168433.67</v>
      </c>
      <c r="G143" s="39">
        <v>118517.56</v>
      </c>
      <c r="H143" s="39">
        <v>0</v>
      </c>
      <c r="I143" s="39">
        <v>5286951.2300000004</v>
      </c>
      <c r="J143" s="39">
        <v>240395.29</v>
      </c>
      <c r="K143" s="39">
        <v>5527346.5199999996</v>
      </c>
      <c r="L143" s="43">
        <v>240</v>
      </c>
    </row>
    <row r="144" spans="1:12" s="40" customFormat="1" ht="13" x14ac:dyDescent="0.3">
      <c r="A144" s="16">
        <v>2296</v>
      </c>
      <c r="B144" s="17">
        <v>40</v>
      </c>
      <c r="C144" s="17">
        <v>1</v>
      </c>
      <c r="D144" s="17">
        <v>1</v>
      </c>
      <c r="E144" s="18" t="s">
        <v>156</v>
      </c>
      <c r="F144" s="39">
        <v>37193088.170000002</v>
      </c>
      <c r="G144" s="39">
        <v>673393.89</v>
      </c>
      <c r="H144" s="39">
        <v>7229217.3700000001</v>
      </c>
      <c r="I144" s="39">
        <v>45095699.43</v>
      </c>
      <c r="J144" s="39">
        <v>3310219.15</v>
      </c>
      <c r="K144" s="39">
        <v>48405918.579999998</v>
      </c>
      <c r="L144" s="43">
        <v>2493</v>
      </c>
    </row>
    <row r="145" spans="1:12" s="40" customFormat="1" ht="13" x14ac:dyDescent="0.3">
      <c r="A145" s="16">
        <v>2303</v>
      </c>
      <c r="B145" s="17">
        <v>40</v>
      </c>
      <c r="C145" s="17">
        <v>1</v>
      </c>
      <c r="D145" s="17">
        <v>1</v>
      </c>
      <c r="E145" s="18" t="s">
        <v>157</v>
      </c>
      <c r="F145" s="39">
        <v>49161148.380000003</v>
      </c>
      <c r="G145" s="39">
        <v>1700469.92</v>
      </c>
      <c r="H145" s="39">
        <v>5188168.08</v>
      </c>
      <c r="I145" s="39">
        <v>56049786.380000003</v>
      </c>
      <c r="J145" s="39">
        <v>2434755.08</v>
      </c>
      <c r="K145" s="39">
        <v>58484541.460000001</v>
      </c>
      <c r="L145" s="43">
        <v>3605</v>
      </c>
    </row>
    <row r="146" spans="1:12" s="40" customFormat="1" ht="13" x14ac:dyDescent="0.3">
      <c r="A146" s="16">
        <v>2394</v>
      </c>
      <c r="B146" s="17">
        <v>10</v>
      </c>
      <c r="C146" s="17">
        <v>10</v>
      </c>
      <c r="D146" s="17">
        <v>1</v>
      </c>
      <c r="E146" s="18" t="s">
        <v>158</v>
      </c>
      <c r="F146" s="39">
        <v>6699979.79</v>
      </c>
      <c r="G146" s="39">
        <v>513896.94</v>
      </c>
      <c r="H146" s="39">
        <v>576901.74</v>
      </c>
      <c r="I146" s="39">
        <v>7790778.4699999997</v>
      </c>
      <c r="J146" s="39">
        <v>367671.52</v>
      </c>
      <c r="K146" s="39">
        <v>8158449.9900000002</v>
      </c>
      <c r="L146" s="43">
        <v>391</v>
      </c>
    </row>
    <row r="147" spans="1:12" s="40" customFormat="1" ht="13" x14ac:dyDescent="0.3">
      <c r="A147" s="16">
        <v>2415</v>
      </c>
      <c r="B147" s="17">
        <v>58</v>
      </c>
      <c r="C147" s="17">
        <v>8</v>
      </c>
      <c r="D147" s="17">
        <v>1</v>
      </c>
      <c r="E147" s="18" t="s">
        <v>159</v>
      </c>
      <c r="F147" s="39">
        <v>5107972.7</v>
      </c>
      <c r="G147" s="39">
        <v>236228.86</v>
      </c>
      <c r="H147" s="39">
        <v>1010311.59</v>
      </c>
      <c r="I147" s="39">
        <v>6354513.1500000004</v>
      </c>
      <c r="J147" s="39">
        <v>338370.9</v>
      </c>
      <c r="K147" s="39">
        <v>6692884.0499999998</v>
      </c>
      <c r="L147" s="43">
        <v>273</v>
      </c>
    </row>
    <row r="148" spans="1:12" s="40" customFormat="1" ht="13" x14ac:dyDescent="0.3">
      <c r="A148" s="16">
        <v>2420</v>
      </c>
      <c r="B148" s="17">
        <v>67</v>
      </c>
      <c r="C148" s="17">
        <v>1</v>
      </c>
      <c r="D148" s="17">
        <v>1</v>
      </c>
      <c r="E148" s="18" t="s">
        <v>160</v>
      </c>
      <c r="F148" s="39">
        <v>67652380.709999993</v>
      </c>
      <c r="G148" s="39">
        <v>3373916.2</v>
      </c>
      <c r="H148" s="39">
        <v>10869177.85</v>
      </c>
      <c r="I148" s="39">
        <v>81895474.760000005</v>
      </c>
      <c r="J148" s="39">
        <v>2046574.41</v>
      </c>
      <c r="K148" s="39">
        <v>83942049.170000002</v>
      </c>
      <c r="L148" s="43">
        <v>5351</v>
      </c>
    </row>
    <row r="149" spans="1:12" s="40" customFormat="1" ht="13" x14ac:dyDescent="0.3">
      <c r="A149" s="16">
        <v>2443</v>
      </c>
      <c r="B149" s="17">
        <v>66</v>
      </c>
      <c r="C149" s="17">
        <v>6</v>
      </c>
      <c r="D149" s="17">
        <v>3</v>
      </c>
      <c r="E149" s="18" t="s">
        <v>161</v>
      </c>
      <c r="F149" s="39">
        <v>22489481.32</v>
      </c>
      <c r="G149" s="39">
        <v>606283.75</v>
      </c>
      <c r="H149" s="39">
        <v>3925906.06</v>
      </c>
      <c r="I149" s="39">
        <v>27021671.129999999</v>
      </c>
      <c r="J149" s="39">
        <v>1099289.48</v>
      </c>
      <c r="K149" s="39">
        <v>28120960.609999999</v>
      </c>
      <c r="L149" s="43">
        <v>1778</v>
      </c>
    </row>
    <row r="150" spans="1:12" s="40" customFormat="1" ht="13" x14ac:dyDescent="0.3">
      <c r="A150" s="16">
        <v>2436</v>
      </c>
      <c r="B150" s="17">
        <v>66</v>
      </c>
      <c r="C150" s="17">
        <v>6</v>
      </c>
      <c r="D150" s="17">
        <v>2</v>
      </c>
      <c r="E150" s="18" t="s">
        <v>162</v>
      </c>
      <c r="F150" s="39">
        <v>20635052.550000001</v>
      </c>
      <c r="G150" s="39">
        <v>875136.34</v>
      </c>
      <c r="H150" s="39">
        <v>1180671.96</v>
      </c>
      <c r="I150" s="39">
        <v>22690860.850000001</v>
      </c>
      <c r="J150" s="39">
        <v>1093802</v>
      </c>
      <c r="K150" s="39">
        <v>23784662.850000001</v>
      </c>
      <c r="L150" s="43">
        <v>1534</v>
      </c>
    </row>
    <row r="151" spans="1:12" s="40" customFormat="1" ht="13" x14ac:dyDescent="0.3">
      <c r="A151" s="16">
        <v>2460</v>
      </c>
      <c r="B151" s="17">
        <v>67</v>
      </c>
      <c r="C151" s="17">
        <v>1</v>
      </c>
      <c r="D151" s="17">
        <v>3</v>
      </c>
      <c r="E151" s="18" t="s">
        <v>163</v>
      </c>
      <c r="F151" s="39">
        <v>14999263.85</v>
      </c>
      <c r="G151" s="39">
        <v>490746.85</v>
      </c>
      <c r="H151" s="39">
        <v>85352.26</v>
      </c>
      <c r="I151" s="39">
        <v>15575362.960000001</v>
      </c>
      <c r="J151" s="39">
        <v>1686918.01</v>
      </c>
      <c r="K151" s="39">
        <v>17262280.969999999</v>
      </c>
      <c r="L151" s="43">
        <v>1206</v>
      </c>
    </row>
    <row r="152" spans="1:12" s="40" customFormat="1" ht="13" x14ac:dyDescent="0.3">
      <c r="A152" s="16">
        <v>2478</v>
      </c>
      <c r="B152" s="17">
        <v>57</v>
      </c>
      <c r="C152" s="17">
        <v>12</v>
      </c>
      <c r="D152" s="17">
        <v>1</v>
      </c>
      <c r="E152" s="18" t="s">
        <v>164</v>
      </c>
      <c r="F152" s="39">
        <v>27501848.420000002</v>
      </c>
      <c r="G152" s="39">
        <v>1679809.32</v>
      </c>
      <c r="H152" s="39">
        <v>4058244.2</v>
      </c>
      <c r="I152" s="39">
        <v>33239901.940000001</v>
      </c>
      <c r="J152" s="39">
        <v>1262434.74</v>
      </c>
      <c r="K152" s="39">
        <v>34502336.68</v>
      </c>
      <c r="L152" s="43">
        <v>1673</v>
      </c>
    </row>
    <row r="153" spans="1:12" s="40" customFormat="1" ht="13" x14ac:dyDescent="0.3">
      <c r="A153" s="16">
        <v>2525</v>
      </c>
      <c r="B153" s="17">
        <v>14</v>
      </c>
      <c r="C153" s="17">
        <v>6</v>
      </c>
      <c r="D153" s="17">
        <v>3</v>
      </c>
      <c r="E153" s="18" t="s">
        <v>451</v>
      </c>
      <c r="F153" s="39">
        <v>4552801.82</v>
      </c>
      <c r="G153" s="39">
        <v>234156.76</v>
      </c>
      <c r="H153" s="39">
        <v>0</v>
      </c>
      <c r="I153" s="39">
        <v>4786958.58</v>
      </c>
      <c r="J153" s="39">
        <v>175273.41</v>
      </c>
      <c r="K153" s="39">
        <v>4962231.99</v>
      </c>
      <c r="L153" s="43">
        <v>338</v>
      </c>
    </row>
    <row r="154" spans="1:12" s="40" customFormat="1" ht="13" x14ac:dyDescent="0.3">
      <c r="A154" s="16">
        <v>2527</v>
      </c>
      <c r="B154" s="17">
        <v>25</v>
      </c>
      <c r="C154" s="17">
        <v>3</v>
      </c>
      <c r="D154" s="17">
        <v>1</v>
      </c>
      <c r="E154" s="18" t="s">
        <v>165</v>
      </c>
      <c r="F154" s="39">
        <v>4848698.6399999997</v>
      </c>
      <c r="G154" s="39">
        <v>166096.93</v>
      </c>
      <c r="H154" s="39">
        <v>346895</v>
      </c>
      <c r="I154" s="39">
        <v>5361690.57</v>
      </c>
      <c r="J154" s="39">
        <v>187814.54</v>
      </c>
      <c r="K154" s="39">
        <v>5549505.1100000003</v>
      </c>
      <c r="L154" s="43">
        <v>293</v>
      </c>
    </row>
    <row r="155" spans="1:12" s="40" customFormat="1" ht="13" x14ac:dyDescent="0.3">
      <c r="A155" s="16">
        <v>2534</v>
      </c>
      <c r="B155" s="17">
        <v>8</v>
      </c>
      <c r="C155" s="17">
        <v>7</v>
      </c>
      <c r="D155" s="17">
        <v>1</v>
      </c>
      <c r="E155" s="18" t="s">
        <v>166</v>
      </c>
      <c r="F155" s="39">
        <v>6297970.6500000004</v>
      </c>
      <c r="G155" s="39">
        <v>215352.78</v>
      </c>
      <c r="H155" s="39">
        <v>1000196.47</v>
      </c>
      <c r="I155" s="39">
        <v>7513519.9000000004</v>
      </c>
      <c r="J155" s="39">
        <v>382251.58</v>
      </c>
      <c r="K155" s="39">
        <v>7895771.4800000004</v>
      </c>
      <c r="L155" s="43">
        <v>465</v>
      </c>
    </row>
    <row r="156" spans="1:12" s="40" customFormat="1" ht="13" x14ac:dyDescent="0.3">
      <c r="A156" s="16">
        <v>2541</v>
      </c>
      <c r="B156" s="17">
        <v>62</v>
      </c>
      <c r="C156" s="17">
        <v>4</v>
      </c>
      <c r="D156" s="17">
        <v>1</v>
      </c>
      <c r="E156" s="18" t="s">
        <v>167</v>
      </c>
      <c r="F156" s="39">
        <v>8347213.7400000002</v>
      </c>
      <c r="G156" s="39">
        <v>464365.68</v>
      </c>
      <c r="H156" s="39">
        <v>829928.42</v>
      </c>
      <c r="I156" s="39">
        <v>9641507.8399999999</v>
      </c>
      <c r="J156" s="39">
        <v>422225.71</v>
      </c>
      <c r="K156" s="39">
        <v>10063733.550000001</v>
      </c>
      <c r="L156" s="43">
        <v>461</v>
      </c>
    </row>
    <row r="157" spans="1:12" s="40" customFormat="1" ht="13" x14ac:dyDescent="0.3">
      <c r="A157" s="16">
        <v>2562</v>
      </c>
      <c r="B157" s="17">
        <v>32</v>
      </c>
      <c r="C157" s="17">
        <v>4</v>
      </c>
      <c r="D157" s="17">
        <v>1</v>
      </c>
      <c r="E157" s="18" t="s">
        <v>168</v>
      </c>
      <c r="F157" s="39">
        <v>56761370.049999997</v>
      </c>
      <c r="G157" s="39">
        <v>2249570.5699999998</v>
      </c>
      <c r="H157" s="39">
        <v>9950692.1500000004</v>
      </c>
      <c r="I157" s="39">
        <v>68961632.769999996</v>
      </c>
      <c r="J157" s="39">
        <v>3814222.15</v>
      </c>
      <c r="K157" s="39">
        <v>72775854.920000002</v>
      </c>
      <c r="L157" s="43">
        <v>4155</v>
      </c>
    </row>
    <row r="158" spans="1:12" s="40" customFormat="1" ht="13" x14ac:dyDescent="0.3">
      <c r="A158" s="40">
        <v>2570</v>
      </c>
      <c r="B158" s="17">
        <v>66</v>
      </c>
      <c r="C158" s="17">
        <v>6</v>
      </c>
      <c r="D158" s="40">
        <v>3</v>
      </c>
      <c r="E158" s="40" t="s">
        <v>452</v>
      </c>
      <c r="F158" s="39">
        <v>8049343.7199999997</v>
      </c>
      <c r="G158" s="39">
        <v>463270.71</v>
      </c>
      <c r="H158" s="39">
        <v>147341.82</v>
      </c>
      <c r="I158" s="39">
        <v>8659956.25</v>
      </c>
      <c r="J158" s="39">
        <v>244530.34</v>
      </c>
      <c r="K158" s="39">
        <v>8904486.5899999999</v>
      </c>
      <c r="L158" s="43">
        <v>506</v>
      </c>
    </row>
    <row r="159" spans="1:12" s="40" customFormat="1" ht="13" x14ac:dyDescent="0.3">
      <c r="A159" s="16">
        <v>2576</v>
      </c>
      <c r="B159" s="17">
        <v>14</v>
      </c>
      <c r="C159" s="17">
        <v>6</v>
      </c>
      <c r="D159" s="17">
        <v>1</v>
      </c>
      <c r="E159" s="18" t="s">
        <v>169</v>
      </c>
      <c r="F159" s="39">
        <v>11011182.470000001</v>
      </c>
      <c r="G159" s="39">
        <v>382874.89</v>
      </c>
      <c r="H159" s="39">
        <v>2100095.0099999998</v>
      </c>
      <c r="I159" s="39">
        <v>13494152.369999999</v>
      </c>
      <c r="J159" s="39">
        <v>833553.15</v>
      </c>
      <c r="K159" s="39">
        <v>14327705.52</v>
      </c>
      <c r="L159" s="43">
        <v>886</v>
      </c>
    </row>
    <row r="160" spans="1:12" s="40" customFormat="1" ht="13" x14ac:dyDescent="0.3">
      <c r="A160" s="16">
        <v>2583</v>
      </c>
      <c r="B160" s="17">
        <v>44</v>
      </c>
      <c r="C160" s="17">
        <v>6</v>
      </c>
      <c r="D160" s="17">
        <v>1</v>
      </c>
      <c r="E160" s="18" t="s">
        <v>170</v>
      </c>
      <c r="F160" s="39">
        <v>50661711.340000004</v>
      </c>
      <c r="G160" s="39">
        <v>3514059.85</v>
      </c>
      <c r="H160" s="39">
        <v>6545293.3600000003</v>
      </c>
      <c r="I160" s="39">
        <v>60721064.549999997</v>
      </c>
      <c r="J160" s="39">
        <v>2077567.96</v>
      </c>
      <c r="K160" s="39">
        <v>62798632.509999998</v>
      </c>
      <c r="L160" s="43">
        <v>4256</v>
      </c>
    </row>
    <row r="161" spans="1:12" s="40" customFormat="1" ht="13" x14ac:dyDescent="0.3">
      <c r="A161" s="16">
        <v>2605</v>
      </c>
      <c r="B161" s="17">
        <v>59</v>
      </c>
      <c r="C161" s="17">
        <v>7</v>
      </c>
      <c r="D161" s="17">
        <v>1</v>
      </c>
      <c r="E161" s="18" t="s">
        <v>171</v>
      </c>
      <c r="F161" s="39">
        <v>10703375.960000001</v>
      </c>
      <c r="G161" s="39">
        <v>626181.93000000005</v>
      </c>
      <c r="H161" s="39">
        <v>2443130.27</v>
      </c>
      <c r="I161" s="39">
        <v>13772688.16</v>
      </c>
      <c r="J161" s="39">
        <v>543035.85</v>
      </c>
      <c r="K161" s="39">
        <v>14315724.01</v>
      </c>
      <c r="L161" s="43">
        <v>814</v>
      </c>
    </row>
    <row r="162" spans="1:12" s="40" customFormat="1" ht="13" x14ac:dyDescent="0.3">
      <c r="A162" s="16">
        <v>2604</v>
      </c>
      <c r="B162" s="17">
        <v>5</v>
      </c>
      <c r="C162" s="17">
        <v>7</v>
      </c>
      <c r="D162" s="17">
        <v>1</v>
      </c>
      <c r="E162" s="18" t="s">
        <v>172</v>
      </c>
      <c r="F162" s="39">
        <v>78919540.620000005</v>
      </c>
      <c r="G162" s="39">
        <v>4043278.07</v>
      </c>
      <c r="H162" s="39">
        <v>13962666.49</v>
      </c>
      <c r="I162" s="39">
        <v>96925485.180000007</v>
      </c>
      <c r="J162" s="39">
        <v>5058408.7300000004</v>
      </c>
      <c r="K162" s="39">
        <v>101983893.91</v>
      </c>
      <c r="L162" s="43">
        <v>5664</v>
      </c>
    </row>
    <row r="163" spans="1:12" s="40" customFormat="1" ht="13" x14ac:dyDescent="0.3">
      <c r="A163" s="16">
        <v>2611</v>
      </c>
      <c r="B163" s="17">
        <v>55</v>
      </c>
      <c r="C163" s="17">
        <v>11</v>
      </c>
      <c r="D163" s="17">
        <v>1</v>
      </c>
      <c r="E163" s="18" t="s">
        <v>173</v>
      </c>
      <c r="F163" s="39">
        <v>76030249.280000001</v>
      </c>
      <c r="G163" s="39">
        <v>3836704.02</v>
      </c>
      <c r="H163" s="39">
        <v>20827192.460000001</v>
      </c>
      <c r="I163" s="39">
        <v>100694145.76000001</v>
      </c>
      <c r="J163" s="39">
        <v>4347597.97</v>
      </c>
      <c r="K163" s="39">
        <v>105041743.73</v>
      </c>
      <c r="L163" s="43">
        <v>5257</v>
      </c>
    </row>
    <row r="164" spans="1:12" s="40" customFormat="1" ht="13" x14ac:dyDescent="0.3">
      <c r="A164" s="16">
        <v>2618</v>
      </c>
      <c r="B164" s="17">
        <v>26</v>
      </c>
      <c r="C164" s="17">
        <v>12</v>
      </c>
      <c r="D164" s="17">
        <v>1</v>
      </c>
      <c r="E164" s="18" t="s">
        <v>174</v>
      </c>
      <c r="F164" s="39">
        <v>7752660.2000000002</v>
      </c>
      <c r="G164" s="39">
        <v>641016.14</v>
      </c>
      <c r="H164" s="39">
        <v>0</v>
      </c>
      <c r="I164" s="39">
        <v>8393676.3399999999</v>
      </c>
      <c r="J164" s="39">
        <v>489245.75</v>
      </c>
      <c r="K164" s="39">
        <v>8882922.0899999999</v>
      </c>
      <c r="L164" s="43">
        <v>544</v>
      </c>
    </row>
    <row r="165" spans="1:12" s="40" customFormat="1" ht="13" x14ac:dyDescent="0.3">
      <c r="A165" s="16">
        <v>2625</v>
      </c>
      <c r="B165" s="17">
        <v>14</v>
      </c>
      <c r="C165" s="17">
        <v>6</v>
      </c>
      <c r="D165" s="17">
        <v>1</v>
      </c>
      <c r="E165" s="18" t="s">
        <v>175</v>
      </c>
      <c r="F165" s="39">
        <v>6078514.2400000002</v>
      </c>
      <c r="G165" s="39">
        <v>333036.15000000002</v>
      </c>
      <c r="H165" s="39">
        <v>338260.83</v>
      </c>
      <c r="I165" s="39">
        <v>6749811.2199999997</v>
      </c>
      <c r="J165" s="39">
        <v>263758.84000000003</v>
      </c>
      <c r="K165" s="39">
        <v>7013570.0599999996</v>
      </c>
      <c r="L165" s="43">
        <v>370</v>
      </c>
    </row>
    <row r="166" spans="1:12" s="40" customFormat="1" ht="13" x14ac:dyDescent="0.3">
      <c r="A166" s="16">
        <v>2632</v>
      </c>
      <c r="B166" s="17">
        <v>61</v>
      </c>
      <c r="C166" s="17">
        <v>4</v>
      </c>
      <c r="D166" s="17">
        <v>1</v>
      </c>
      <c r="E166" s="18" t="s">
        <v>176</v>
      </c>
      <c r="F166" s="39">
        <v>7324459.75</v>
      </c>
      <c r="G166" s="39">
        <v>455715.69</v>
      </c>
      <c r="H166" s="39">
        <v>207186.03</v>
      </c>
      <c r="I166" s="39">
        <v>7987361.4699999997</v>
      </c>
      <c r="J166" s="39">
        <v>330639.03000000003</v>
      </c>
      <c r="K166" s="39">
        <v>8318000.5</v>
      </c>
      <c r="L166" s="43">
        <v>491</v>
      </c>
    </row>
    <row r="167" spans="1:12" s="40" customFormat="1" ht="13" x14ac:dyDescent="0.3">
      <c r="A167" s="16">
        <v>2639</v>
      </c>
      <c r="B167" s="17">
        <v>68</v>
      </c>
      <c r="C167" s="17">
        <v>5</v>
      </c>
      <c r="D167" s="17">
        <v>1</v>
      </c>
      <c r="E167" s="18" t="s">
        <v>177</v>
      </c>
      <c r="F167" s="39">
        <v>9845479.7100000009</v>
      </c>
      <c r="G167" s="39">
        <v>601317.23</v>
      </c>
      <c r="H167" s="39">
        <v>377616.72</v>
      </c>
      <c r="I167" s="39">
        <v>10824413.66</v>
      </c>
      <c r="J167" s="39">
        <v>778580.91</v>
      </c>
      <c r="K167" s="39">
        <v>11602994.57</v>
      </c>
      <c r="L167" s="43">
        <v>653</v>
      </c>
    </row>
    <row r="168" spans="1:12" s="40" customFormat="1" ht="13" x14ac:dyDescent="0.3">
      <c r="A168" s="16">
        <v>2646</v>
      </c>
      <c r="B168" s="17">
        <v>25</v>
      </c>
      <c r="C168" s="17">
        <v>3</v>
      </c>
      <c r="D168" s="17">
        <v>1</v>
      </c>
      <c r="E168" s="18" t="s">
        <v>178</v>
      </c>
      <c r="F168" s="39">
        <v>10612197.91</v>
      </c>
      <c r="G168" s="39">
        <v>583808.56999999995</v>
      </c>
      <c r="H168" s="39">
        <v>364339.84</v>
      </c>
      <c r="I168" s="39">
        <v>11560346.32</v>
      </c>
      <c r="J168" s="39">
        <v>518909.44</v>
      </c>
      <c r="K168" s="39">
        <v>12079255.76</v>
      </c>
      <c r="L168" s="43">
        <v>683</v>
      </c>
    </row>
    <row r="169" spans="1:12" s="40" customFormat="1" ht="13" x14ac:dyDescent="0.3">
      <c r="A169" s="16">
        <v>2660</v>
      </c>
      <c r="B169" s="17">
        <v>52</v>
      </c>
      <c r="C169" s="17">
        <v>3</v>
      </c>
      <c r="D169" s="17">
        <v>1</v>
      </c>
      <c r="E169" s="18" t="s">
        <v>179</v>
      </c>
      <c r="F169" s="39">
        <v>4920136.01</v>
      </c>
      <c r="G169" s="39">
        <v>218791.59</v>
      </c>
      <c r="H169" s="39">
        <v>359690.87</v>
      </c>
      <c r="I169" s="39">
        <v>5498618.4699999997</v>
      </c>
      <c r="J169" s="39">
        <v>642554.69999999995</v>
      </c>
      <c r="K169" s="39">
        <v>6141173.1699999999</v>
      </c>
      <c r="L169" s="43">
        <v>274</v>
      </c>
    </row>
    <row r="170" spans="1:12" s="40" customFormat="1" ht="13" x14ac:dyDescent="0.3">
      <c r="A170" s="16">
        <v>2695</v>
      </c>
      <c r="B170" s="17">
        <v>53</v>
      </c>
      <c r="C170" s="17">
        <v>2</v>
      </c>
      <c r="D170" s="17">
        <v>1</v>
      </c>
      <c r="E170" s="18" t="s">
        <v>180</v>
      </c>
      <c r="F170" s="39">
        <v>131031643.03</v>
      </c>
      <c r="G170" s="39">
        <v>2810819.09</v>
      </c>
      <c r="H170" s="39">
        <v>23579469.41</v>
      </c>
      <c r="I170" s="39">
        <v>157421931.53</v>
      </c>
      <c r="J170" s="39">
        <v>6708147.3300000001</v>
      </c>
      <c r="K170" s="39">
        <v>164130078.86000001</v>
      </c>
      <c r="L170" s="43">
        <v>9407</v>
      </c>
    </row>
    <row r="171" spans="1:12" s="40" customFormat="1" ht="13" x14ac:dyDescent="0.3">
      <c r="A171" s="16">
        <v>2702</v>
      </c>
      <c r="B171" s="17">
        <v>28</v>
      </c>
      <c r="C171" s="17">
        <v>2</v>
      </c>
      <c r="D171" s="17">
        <v>1</v>
      </c>
      <c r="E171" s="18" t="s">
        <v>181</v>
      </c>
      <c r="F171" s="39">
        <v>25851888.120000001</v>
      </c>
      <c r="G171" s="39">
        <v>1025933.32</v>
      </c>
      <c r="H171" s="39">
        <v>4733907.79</v>
      </c>
      <c r="I171" s="39">
        <v>31611729.23</v>
      </c>
      <c r="J171" s="39">
        <v>1628630.34</v>
      </c>
      <c r="K171" s="39">
        <v>33240359.57</v>
      </c>
      <c r="L171" s="43">
        <v>1733</v>
      </c>
    </row>
    <row r="172" spans="1:12" s="40" customFormat="1" ht="13" x14ac:dyDescent="0.3">
      <c r="A172" s="16">
        <v>2730</v>
      </c>
      <c r="B172" s="17">
        <v>28</v>
      </c>
      <c r="C172" s="17">
        <v>2</v>
      </c>
      <c r="D172" s="17">
        <v>1</v>
      </c>
      <c r="E172" s="18" t="s">
        <v>182</v>
      </c>
      <c r="F172" s="39">
        <v>10907406.57</v>
      </c>
      <c r="G172" s="39">
        <v>466987.92</v>
      </c>
      <c r="H172" s="39">
        <v>5407926.21</v>
      </c>
      <c r="I172" s="39">
        <v>16782320.699999999</v>
      </c>
      <c r="J172" s="39">
        <v>743313.58</v>
      </c>
      <c r="K172" s="39">
        <v>17525634.280000001</v>
      </c>
      <c r="L172" s="43">
        <v>757</v>
      </c>
    </row>
    <row r="173" spans="1:12" s="40" customFormat="1" ht="13" x14ac:dyDescent="0.3">
      <c r="A173" s="16">
        <v>2737</v>
      </c>
      <c r="B173" s="17">
        <v>23</v>
      </c>
      <c r="C173" s="17">
        <v>2</v>
      </c>
      <c r="D173" s="17">
        <v>1</v>
      </c>
      <c r="E173" s="18" t="s">
        <v>183</v>
      </c>
      <c r="F173" s="39">
        <v>3762407.56</v>
      </c>
      <c r="G173" s="39">
        <v>97617.21</v>
      </c>
      <c r="H173" s="39">
        <v>415719.11</v>
      </c>
      <c r="I173" s="39">
        <v>4275743.88</v>
      </c>
      <c r="J173" s="39">
        <v>379255.68</v>
      </c>
      <c r="K173" s="39">
        <v>4654999.5599999996</v>
      </c>
      <c r="L173" s="43">
        <v>228</v>
      </c>
    </row>
    <row r="174" spans="1:12" s="40" customFormat="1" ht="13" x14ac:dyDescent="0.3">
      <c r="A174" s="16">
        <v>2758</v>
      </c>
      <c r="B174" s="17">
        <v>44</v>
      </c>
      <c r="C174" s="17">
        <v>6</v>
      </c>
      <c r="D174" s="17">
        <v>1</v>
      </c>
      <c r="E174" s="18" t="s">
        <v>184</v>
      </c>
      <c r="F174" s="39">
        <v>58382025.799999997</v>
      </c>
      <c r="G174" s="39">
        <v>2445420.0099999998</v>
      </c>
      <c r="H174" s="39">
        <v>7039749.1200000001</v>
      </c>
      <c r="I174" s="39">
        <v>67867194.930000007</v>
      </c>
      <c r="J174" s="39">
        <v>2233222.25</v>
      </c>
      <c r="K174" s="39">
        <v>70100417.180000007</v>
      </c>
      <c r="L174" s="43">
        <v>5021</v>
      </c>
    </row>
    <row r="175" spans="1:12" s="40" customFormat="1" ht="13" x14ac:dyDescent="0.3">
      <c r="A175" s="16">
        <v>2793</v>
      </c>
      <c r="B175" s="17">
        <v>30</v>
      </c>
      <c r="C175" s="17">
        <v>1</v>
      </c>
      <c r="D175" s="17">
        <v>1</v>
      </c>
      <c r="E175" s="18" t="s">
        <v>185</v>
      </c>
      <c r="F175" s="39">
        <v>279637639.06</v>
      </c>
      <c r="G175" s="39">
        <v>9783575.7100000009</v>
      </c>
      <c r="H175" s="39">
        <v>26191148.949999999</v>
      </c>
      <c r="I175" s="39">
        <v>315612363.72000003</v>
      </c>
      <c r="J175" s="39">
        <v>11857141.359999999</v>
      </c>
      <c r="K175" s="39">
        <v>327469505.07999998</v>
      </c>
      <c r="L175" s="43">
        <v>19673</v>
      </c>
    </row>
    <row r="176" spans="1:12" s="40" customFormat="1" ht="13" x14ac:dyDescent="0.3">
      <c r="A176" s="16">
        <v>1376</v>
      </c>
      <c r="B176" s="17">
        <v>67</v>
      </c>
      <c r="C176" s="17">
        <v>1</v>
      </c>
      <c r="D176" s="17">
        <v>1</v>
      </c>
      <c r="E176" s="18" t="s">
        <v>186</v>
      </c>
      <c r="F176" s="39">
        <v>48421274.079999998</v>
      </c>
      <c r="G176" s="39">
        <v>3027440.44</v>
      </c>
      <c r="H176" s="39">
        <v>5645156.4900000002</v>
      </c>
      <c r="I176" s="39">
        <v>57093871.009999998</v>
      </c>
      <c r="J176" s="39">
        <v>3887814.72</v>
      </c>
      <c r="K176" s="39">
        <v>60981685.729999997</v>
      </c>
      <c r="L176" s="43">
        <v>3417</v>
      </c>
    </row>
    <row r="177" spans="1:12" s="40" customFormat="1" ht="13" x14ac:dyDescent="0.3">
      <c r="A177" s="16">
        <v>2800</v>
      </c>
      <c r="B177" s="17">
        <v>66</v>
      </c>
      <c r="C177" s="17">
        <v>6</v>
      </c>
      <c r="D177" s="17">
        <v>1</v>
      </c>
      <c r="E177" s="18" t="s">
        <v>187</v>
      </c>
      <c r="F177" s="39">
        <v>21430360.120000001</v>
      </c>
      <c r="G177" s="39">
        <v>1087556.6299999999</v>
      </c>
      <c r="H177" s="39">
        <v>3734108.1600000001</v>
      </c>
      <c r="I177" s="39">
        <v>26252024.91</v>
      </c>
      <c r="J177" s="39">
        <v>1345326.65</v>
      </c>
      <c r="K177" s="39">
        <v>27597351.559999999</v>
      </c>
      <c r="L177" s="43">
        <v>1884</v>
      </c>
    </row>
    <row r="178" spans="1:12" s="40" customFormat="1" ht="13" x14ac:dyDescent="0.3">
      <c r="A178" s="16">
        <v>2814</v>
      </c>
      <c r="B178" s="17">
        <v>31</v>
      </c>
      <c r="C178" s="17">
        <v>7</v>
      </c>
      <c r="D178" s="17">
        <v>1</v>
      </c>
      <c r="E178" s="18" t="s">
        <v>188</v>
      </c>
      <c r="F178" s="39">
        <v>14663796.449999999</v>
      </c>
      <c r="G178" s="39">
        <v>502501.48</v>
      </c>
      <c r="H178" s="39">
        <v>1239012.5</v>
      </c>
      <c r="I178" s="39">
        <v>16405310.43</v>
      </c>
      <c r="J178" s="39">
        <v>1134517.4099999999</v>
      </c>
      <c r="K178" s="39">
        <v>17539827.84</v>
      </c>
      <c r="L178" s="43">
        <v>993</v>
      </c>
    </row>
    <row r="179" spans="1:12" s="40" customFormat="1" ht="13" x14ac:dyDescent="0.3">
      <c r="A179" s="16">
        <v>5960</v>
      </c>
      <c r="B179" s="17">
        <v>62</v>
      </c>
      <c r="C179" s="17">
        <v>3</v>
      </c>
      <c r="D179" s="17">
        <v>1</v>
      </c>
      <c r="E179" s="18" t="s">
        <v>189</v>
      </c>
      <c r="F179" s="39">
        <v>6443541.5700000003</v>
      </c>
      <c r="G179" s="39">
        <v>567030.42000000004</v>
      </c>
      <c r="H179" s="39">
        <v>633040</v>
      </c>
      <c r="I179" s="39">
        <v>7643611.9900000002</v>
      </c>
      <c r="J179" s="39">
        <v>459052.97</v>
      </c>
      <c r="K179" s="39">
        <v>8102664.96</v>
      </c>
      <c r="L179" s="43">
        <v>431</v>
      </c>
    </row>
    <row r="180" spans="1:12" s="40" customFormat="1" ht="13" x14ac:dyDescent="0.3">
      <c r="A180" s="16">
        <v>2828</v>
      </c>
      <c r="B180" s="17">
        <v>36</v>
      </c>
      <c r="C180" s="17">
        <v>7</v>
      </c>
      <c r="D180" s="17">
        <v>1</v>
      </c>
      <c r="E180" s="18" t="s">
        <v>190</v>
      </c>
      <c r="F180" s="39">
        <v>18334422.02</v>
      </c>
      <c r="G180" s="39">
        <v>826893.04</v>
      </c>
      <c r="H180" s="39">
        <v>1373881.26</v>
      </c>
      <c r="I180" s="39">
        <v>20535196.32</v>
      </c>
      <c r="J180" s="39">
        <v>1156646.48</v>
      </c>
      <c r="K180" s="39">
        <v>21691842.800000001</v>
      </c>
      <c r="L180" s="43">
        <v>1276</v>
      </c>
    </row>
    <row r="181" spans="1:12" s="40" customFormat="1" ht="13" x14ac:dyDescent="0.3">
      <c r="A181" s="16">
        <v>2835</v>
      </c>
      <c r="B181" s="17">
        <v>44</v>
      </c>
      <c r="C181" s="17">
        <v>6</v>
      </c>
      <c r="D181" s="17">
        <v>1</v>
      </c>
      <c r="E181" s="18" t="s">
        <v>191</v>
      </c>
      <c r="F181" s="39">
        <v>61114925.560000002</v>
      </c>
      <c r="G181" s="39">
        <v>1896333.18</v>
      </c>
      <c r="H181" s="39">
        <v>2845979.51</v>
      </c>
      <c r="I181" s="39">
        <v>65857238.25</v>
      </c>
      <c r="J181" s="39">
        <v>2705440.1</v>
      </c>
      <c r="K181" s="39">
        <v>68562678.349999994</v>
      </c>
      <c r="L181" s="43">
        <v>4698</v>
      </c>
    </row>
    <row r="182" spans="1:12" s="40" customFormat="1" ht="13" x14ac:dyDescent="0.3">
      <c r="A182" s="16">
        <v>2842</v>
      </c>
      <c r="B182" s="17">
        <v>59</v>
      </c>
      <c r="C182" s="17">
        <v>7</v>
      </c>
      <c r="D182" s="17">
        <v>1</v>
      </c>
      <c r="E182" s="18" t="s">
        <v>192</v>
      </c>
      <c r="F182" s="39">
        <v>7458362.2400000002</v>
      </c>
      <c r="G182" s="39">
        <v>146474.57</v>
      </c>
      <c r="H182" s="39">
        <v>2219813.31</v>
      </c>
      <c r="I182" s="39">
        <v>9824650.1199999992</v>
      </c>
      <c r="J182" s="39">
        <v>672020.36</v>
      </c>
      <c r="K182" s="39">
        <v>10496670.48</v>
      </c>
      <c r="L182" s="43">
        <v>473</v>
      </c>
    </row>
    <row r="183" spans="1:12" s="40" customFormat="1" ht="13" x14ac:dyDescent="0.3">
      <c r="A183" s="16">
        <v>1848</v>
      </c>
      <c r="B183" s="17">
        <v>63</v>
      </c>
      <c r="C183" s="17">
        <v>9</v>
      </c>
      <c r="D183" s="17">
        <v>3</v>
      </c>
      <c r="E183" s="18" t="s">
        <v>193</v>
      </c>
      <c r="F183" s="39">
        <v>15976045.890000001</v>
      </c>
      <c r="G183" s="39">
        <v>762536.21</v>
      </c>
      <c r="H183" s="39">
        <v>3829770.96</v>
      </c>
      <c r="I183" s="39">
        <v>20568353.059999999</v>
      </c>
      <c r="J183" s="39">
        <v>715132.23</v>
      </c>
      <c r="K183" s="39">
        <v>21283485.289999999</v>
      </c>
      <c r="L183" s="43">
        <v>536</v>
      </c>
    </row>
    <row r="184" spans="1:12" s="40" customFormat="1" ht="13" x14ac:dyDescent="0.3">
      <c r="A184" s="16">
        <v>2849</v>
      </c>
      <c r="B184" s="17">
        <v>32</v>
      </c>
      <c r="C184" s="17">
        <v>4</v>
      </c>
      <c r="D184" s="17">
        <v>1</v>
      </c>
      <c r="E184" s="18" t="s">
        <v>194</v>
      </c>
      <c r="F184" s="39">
        <v>96443612.650000006</v>
      </c>
      <c r="G184" s="39">
        <v>3978838.94</v>
      </c>
      <c r="H184" s="39">
        <v>4301428.2699999996</v>
      </c>
      <c r="I184" s="39">
        <v>104723879.86</v>
      </c>
      <c r="J184" s="39">
        <v>5807142.4500000002</v>
      </c>
      <c r="K184" s="39">
        <v>110531022.31</v>
      </c>
      <c r="L184" s="43">
        <v>6107</v>
      </c>
    </row>
    <row r="185" spans="1:12" s="40" customFormat="1" ht="13" x14ac:dyDescent="0.3">
      <c r="A185" s="16">
        <v>2856</v>
      </c>
      <c r="B185" s="17">
        <v>54</v>
      </c>
      <c r="C185" s="17">
        <v>10</v>
      </c>
      <c r="D185" s="17">
        <v>1</v>
      </c>
      <c r="E185" s="18" t="s">
        <v>195</v>
      </c>
      <c r="F185" s="39">
        <v>10687626.26</v>
      </c>
      <c r="G185" s="39">
        <v>764954.7</v>
      </c>
      <c r="H185" s="39">
        <v>2182059.35</v>
      </c>
      <c r="I185" s="39">
        <v>13634640.310000001</v>
      </c>
      <c r="J185" s="39">
        <v>1062024.3799999999</v>
      </c>
      <c r="K185" s="39">
        <v>14696664.689999999</v>
      </c>
      <c r="L185" s="43">
        <v>740</v>
      </c>
    </row>
    <row r="186" spans="1:12" s="40" customFormat="1" ht="13" x14ac:dyDescent="0.3">
      <c r="A186" s="16">
        <v>2863</v>
      </c>
      <c r="B186" s="17">
        <v>62</v>
      </c>
      <c r="C186" s="17">
        <v>4</v>
      </c>
      <c r="D186" s="17">
        <v>1</v>
      </c>
      <c r="E186" s="18" t="s">
        <v>196</v>
      </c>
      <c r="F186" s="39">
        <v>4518760.79</v>
      </c>
      <c r="G186" s="39">
        <v>166299.63</v>
      </c>
      <c r="H186" s="39">
        <v>805514.56</v>
      </c>
      <c r="I186" s="39">
        <v>5490574.9800000004</v>
      </c>
      <c r="J186" s="39">
        <v>201912.48</v>
      </c>
      <c r="K186" s="39">
        <v>5692487.46</v>
      </c>
      <c r="L186" s="43">
        <v>259</v>
      </c>
    </row>
    <row r="187" spans="1:12" s="40" customFormat="1" ht="13" x14ac:dyDescent="0.3">
      <c r="A187" s="16">
        <v>3862</v>
      </c>
      <c r="B187" s="17">
        <v>67</v>
      </c>
      <c r="C187" s="17">
        <v>1</v>
      </c>
      <c r="D187" s="17">
        <v>3</v>
      </c>
      <c r="E187" s="18" t="s">
        <v>197</v>
      </c>
      <c r="F187" s="39">
        <v>5097417.57</v>
      </c>
      <c r="G187" s="39">
        <v>248446.83</v>
      </c>
      <c r="H187" s="39">
        <v>21233</v>
      </c>
      <c r="I187" s="39">
        <v>5367097.4000000004</v>
      </c>
      <c r="J187" s="39">
        <v>273803.44</v>
      </c>
      <c r="K187" s="39">
        <v>5640900.8399999999</v>
      </c>
      <c r="L187" s="43">
        <v>375</v>
      </c>
    </row>
    <row r="188" spans="1:12" s="40" customFormat="1" ht="13" x14ac:dyDescent="0.3">
      <c r="A188" s="16">
        <v>2885</v>
      </c>
      <c r="B188" s="17">
        <v>64</v>
      </c>
      <c r="C188" s="17">
        <v>2</v>
      </c>
      <c r="D188" s="17">
        <v>3</v>
      </c>
      <c r="E188" s="18" t="s">
        <v>198</v>
      </c>
      <c r="F188" s="39">
        <v>25226539.190000001</v>
      </c>
      <c r="G188" s="39">
        <v>968007.39</v>
      </c>
      <c r="H188" s="39">
        <v>2543806.84</v>
      </c>
      <c r="I188" s="39">
        <v>28738353.420000002</v>
      </c>
      <c r="J188" s="39">
        <v>1298730.72</v>
      </c>
      <c r="K188" s="39">
        <v>30037084.140000001</v>
      </c>
      <c r="L188" s="43">
        <v>1754</v>
      </c>
    </row>
    <row r="189" spans="1:12" s="40" customFormat="1" ht="13" x14ac:dyDescent="0.3">
      <c r="A189" s="16">
        <v>2884</v>
      </c>
      <c r="B189" s="17">
        <v>64</v>
      </c>
      <c r="C189" s="17">
        <v>2</v>
      </c>
      <c r="D189" s="17">
        <v>2</v>
      </c>
      <c r="E189" s="18" t="s">
        <v>199</v>
      </c>
      <c r="F189" s="39">
        <v>19633127.670000002</v>
      </c>
      <c r="G189" s="39">
        <v>1083411.77</v>
      </c>
      <c r="H189" s="39">
        <v>1169629.43</v>
      </c>
      <c r="I189" s="39">
        <v>21886168.870000001</v>
      </c>
      <c r="J189" s="39">
        <v>1417832.66</v>
      </c>
      <c r="K189" s="39">
        <v>23304001.530000001</v>
      </c>
      <c r="L189" s="43">
        <v>1285</v>
      </c>
    </row>
    <row r="190" spans="1:12" s="40" customFormat="1" ht="13" x14ac:dyDescent="0.3">
      <c r="A190" s="16">
        <v>2891</v>
      </c>
      <c r="B190" s="17">
        <v>9</v>
      </c>
      <c r="C190" s="17">
        <v>10</v>
      </c>
      <c r="D190" s="17">
        <v>1</v>
      </c>
      <c r="E190" s="18" t="s">
        <v>200</v>
      </c>
      <c r="F190" s="39">
        <v>5043556.62</v>
      </c>
      <c r="G190" s="39">
        <v>386896.01</v>
      </c>
      <c r="H190" s="39">
        <v>93535.15</v>
      </c>
      <c r="I190" s="39">
        <v>5523987.7800000003</v>
      </c>
      <c r="J190" s="39">
        <v>408610.81</v>
      </c>
      <c r="K190" s="39">
        <v>5932598.5899999999</v>
      </c>
      <c r="L190" s="43">
        <v>274</v>
      </c>
    </row>
    <row r="191" spans="1:12" s="40" customFormat="1" ht="13" x14ac:dyDescent="0.3">
      <c r="A191" s="16">
        <v>2898</v>
      </c>
      <c r="B191" s="17">
        <v>28</v>
      </c>
      <c r="C191" s="17">
        <v>2</v>
      </c>
      <c r="D191" s="17">
        <v>1</v>
      </c>
      <c r="E191" s="18" t="s">
        <v>201</v>
      </c>
      <c r="F191" s="39">
        <v>19567465.699999999</v>
      </c>
      <c r="G191" s="39">
        <v>838215.11</v>
      </c>
      <c r="H191" s="39">
        <v>2937317.17</v>
      </c>
      <c r="I191" s="39">
        <v>23342997.98</v>
      </c>
      <c r="J191" s="39">
        <v>1576607.81</v>
      </c>
      <c r="K191" s="39">
        <v>24919605.789999999</v>
      </c>
      <c r="L191" s="43">
        <v>1534</v>
      </c>
    </row>
    <row r="192" spans="1:12" s="40" customFormat="1" ht="13" x14ac:dyDescent="0.3">
      <c r="A192" s="16">
        <v>3647</v>
      </c>
      <c r="B192" s="17">
        <v>43</v>
      </c>
      <c r="C192" s="17">
        <v>9</v>
      </c>
      <c r="D192" s="17">
        <v>2</v>
      </c>
      <c r="E192" s="18" t="s">
        <v>202</v>
      </c>
      <c r="F192" s="39">
        <v>15426963.210000001</v>
      </c>
      <c r="G192" s="39">
        <v>1068419.04</v>
      </c>
      <c r="H192" s="39">
        <v>3520979.74</v>
      </c>
      <c r="I192" s="39">
        <v>20016361.989999998</v>
      </c>
      <c r="J192" s="39">
        <v>686904.02</v>
      </c>
      <c r="K192" s="39">
        <v>20703266.010000002</v>
      </c>
      <c r="L192" s="43">
        <v>712</v>
      </c>
    </row>
    <row r="193" spans="1:12" s="40" customFormat="1" ht="13" x14ac:dyDescent="0.3">
      <c r="A193" s="16">
        <v>2912</v>
      </c>
      <c r="B193" s="17">
        <v>22</v>
      </c>
      <c r="C193" s="17">
        <v>3</v>
      </c>
      <c r="D193" s="17">
        <v>1</v>
      </c>
      <c r="E193" s="18" t="s">
        <v>203</v>
      </c>
      <c r="F193" s="39">
        <v>14308498.560000001</v>
      </c>
      <c r="G193" s="39">
        <v>605441.68999999994</v>
      </c>
      <c r="H193" s="39">
        <v>40017.89</v>
      </c>
      <c r="I193" s="39">
        <v>14953958.140000001</v>
      </c>
      <c r="J193" s="39">
        <v>689852.61</v>
      </c>
      <c r="K193" s="39">
        <v>15643810.75</v>
      </c>
      <c r="L193" s="43">
        <v>1054</v>
      </c>
    </row>
    <row r="194" spans="1:12" s="40" customFormat="1" ht="13" x14ac:dyDescent="0.3">
      <c r="A194" s="16">
        <v>2940</v>
      </c>
      <c r="B194" s="17">
        <v>21</v>
      </c>
      <c r="C194" s="17">
        <v>8</v>
      </c>
      <c r="D194" s="17">
        <v>1</v>
      </c>
      <c r="E194" s="18" t="s">
        <v>204</v>
      </c>
      <c r="F194" s="39">
        <v>4537229.18</v>
      </c>
      <c r="G194" s="39">
        <v>222715.51</v>
      </c>
      <c r="H194" s="39">
        <v>0</v>
      </c>
      <c r="I194" s="39">
        <v>4759944.6900000004</v>
      </c>
      <c r="J194" s="39">
        <v>393679.35</v>
      </c>
      <c r="K194" s="39">
        <v>5153624.04</v>
      </c>
      <c r="L194" s="43">
        <v>255</v>
      </c>
    </row>
    <row r="195" spans="1:12" s="40" customFormat="1" ht="13" x14ac:dyDescent="0.3">
      <c r="A195" s="16">
        <v>2961</v>
      </c>
      <c r="B195" s="17">
        <v>42</v>
      </c>
      <c r="C195" s="17">
        <v>8</v>
      </c>
      <c r="D195" s="17">
        <v>1</v>
      </c>
      <c r="E195" s="18" t="s">
        <v>205</v>
      </c>
      <c r="F195" s="39">
        <v>6533823.1699999999</v>
      </c>
      <c r="G195" s="39">
        <v>249571.18</v>
      </c>
      <c r="H195" s="39">
        <v>59407</v>
      </c>
      <c r="I195" s="39">
        <v>6842801.3499999996</v>
      </c>
      <c r="J195" s="39">
        <v>294015.07</v>
      </c>
      <c r="K195" s="39">
        <v>7136816.4199999999</v>
      </c>
      <c r="L195" s="43">
        <v>413</v>
      </c>
    </row>
    <row r="196" spans="1:12" s="40" customFormat="1" ht="13" x14ac:dyDescent="0.3">
      <c r="A196" s="16">
        <v>3087</v>
      </c>
      <c r="B196" s="17">
        <v>64</v>
      </c>
      <c r="C196" s="17">
        <v>2</v>
      </c>
      <c r="D196" s="17">
        <v>3</v>
      </c>
      <c r="E196" s="18" t="s">
        <v>206</v>
      </c>
      <c r="F196" s="39">
        <v>2164211.36</v>
      </c>
      <c r="G196" s="39">
        <v>81419.3</v>
      </c>
      <c r="H196" s="39">
        <v>212675</v>
      </c>
      <c r="I196" s="39">
        <v>2458305.66</v>
      </c>
      <c r="J196" s="39">
        <v>69783.100000000006</v>
      </c>
      <c r="K196" s="39">
        <v>2528088.7599999998</v>
      </c>
      <c r="L196" s="43">
        <v>91</v>
      </c>
    </row>
    <row r="197" spans="1:12" s="40" customFormat="1" ht="13" x14ac:dyDescent="0.3">
      <c r="A197" s="16">
        <v>3094</v>
      </c>
      <c r="B197" s="17">
        <v>64</v>
      </c>
      <c r="C197" s="17">
        <v>2</v>
      </c>
      <c r="D197" s="17">
        <v>3</v>
      </c>
      <c r="E197" s="18" t="s">
        <v>207</v>
      </c>
      <c r="F197" s="39">
        <v>1758256.65</v>
      </c>
      <c r="G197" s="39">
        <v>50395.67</v>
      </c>
      <c r="H197" s="39">
        <v>1334662.26</v>
      </c>
      <c r="I197" s="39">
        <v>3143314.58</v>
      </c>
      <c r="J197" s="39">
        <v>126176.67</v>
      </c>
      <c r="K197" s="39">
        <v>3269491.25</v>
      </c>
      <c r="L197" s="43">
        <v>97</v>
      </c>
    </row>
    <row r="198" spans="1:12" s="40" customFormat="1" ht="13" x14ac:dyDescent="0.3">
      <c r="A198" s="16">
        <v>3129</v>
      </c>
      <c r="B198" s="17">
        <v>44</v>
      </c>
      <c r="C198" s="17">
        <v>6</v>
      </c>
      <c r="D198" s="17">
        <v>1</v>
      </c>
      <c r="E198" s="18" t="s">
        <v>208</v>
      </c>
      <c r="F198" s="39">
        <v>18524265.739999998</v>
      </c>
      <c r="G198" s="39">
        <v>256972.64</v>
      </c>
      <c r="H198" s="39">
        <v>1744711.64</v>
      </c>
      <c r="I198" s="39">
        <v>20525950.02</v>
      </c>
      <c r="J198" s="39">
        <v>1013819.13</v>
      </c>
      <c r="K198" s="39">
        <v>21539769.149999999</v>
      </c>
      <c r="L198" s="43">
        <v>1282</v>
      </c>
    </row>
    <row r="199" spans="1:12" s="40" customFormat="1" ht="13" x14ac:dyDescent="0.3">
      <c r="A199" s="16">
        <v>3150</v>
      </c>
      <c r="B199" s="17">
        <v>11</v>
      </c>
      <c r="C199" s="17">
        <v>5</v>
      </c>
      <c r="D199" s="17">
        <v>1</v>
      </c>
      <c r="E199" s="18" t="s">
        <v>209</v>
      </c>
      <c r="F199" s="39">
        <v>21950077.84</v>
      </c>
      <c r="G199" s="39">
        <v>1402618.55</v>
      </c>
      <c r="H199" s="39">
        <v>2391816.3199999998</v>
      </c>
      <c r="I199" s="39">
        <v>25744512.710000001</v>
      </c>
      <c r="J199" s="39">
        <v>1449398.07</v>
      </c>
      <c r="K199" s="39">
        <v>27193910.780000001</v>
      </c>
      <c r="L199" s="43">
        <v>1515</v>
      </c>
    </row>
    <row r="200" spans="1:12" s="40" customFormat="1" ht="13" x14ac:dyDescent="0.3">
      <c r="A200" s="16">
        <v>3171</v>
      </c>
      <c r="B200" s="17">
        <v>14</v>
      </c>
      <c r="C200" s="17">
        <v>6</v>
      </c>
      <c r="D200" s="17">
        <v>1</v>
      </c>
      <c r="E200" s="18" t="s">
        <v>210</v>
      </c>
      <c r="F200" s="39">
        <v>14008064.449999999</v>
      </c>
      <c r="G200" s="39">
        <v>366058.71</v>
      </c>
      <c r="H200" s="39">
        <v>1773064.52</v>
      </c>
      <c r="I200" s="39">
        <v>16147187.68</v>
      </c>
      <c r="J200" s="39">
        <v>804401.06</v>
      </c>
      <c r="K200" s="39">
        <v>16951588.739999998</v>
      </c>
      <c r="L200" s="43">
        <v>1032</v>
      </c>
    </row>
    <row r="201" spans="1:12" s="40" customFormat="1" ht="13" x14ac:dyDescent="0.3">
      <c r="A201" s="16">
        <v>3206</v>
      </c>
      <c r="B201" s="17">
        <v>10</v>
      </c>
      <c r="C201" s="17">
        <v>10</v>
      </c>
      <c r="D201" s="17">
        <v>1</v>
      </c>
      <c r="E201" s="18" t="s">
        <v>211</v>
      </c>
      <c r="F201" s="39">
        <v>8624356.6999999993</v>
      </c>
      <c r="G201" s="39">
        <v>427187.58</v>
      </c>
      <c r="H201" s="39">
        <v>668292</v>
      </c>
      <c r="I201" s="39">
        <v>9719836.2799999993</v>
      </c>
      <c r="J201" s="39">
        <v>489849.68</v>
      </c>
      <c r="K201" s="39">
        <v>10209685.960000001</v>
      </c>
      <c r="L201" s="43">
        <v>515</v>
      </c>
    </row>
    <row r="202" spans="1:12" s="40" customFormat="1" ht="13" x14ac:dyDescent="0.3">
      <c r="A202" s="16">
        <v>3213</v>
      </c>
      <c r="B202" s="17">
        <v>48</v>
      </c>
      <c r="C202" s="17">
        <v>11</v>
      </c>
      <c r="D202" s="17">
        <v>1</v>
      </c>
      <c r="E202" s="18" t="s">
        <v>212</v>
      </c>
      <c r="F202" s="39">
        <v>6613347.1100000003</v>
      </c>
      <c r="G202" s="39">
        <v>425339.8</v>
      </c>
      <c r="H202" s="39">
        <v>659506.78</v>
      </c>
      <c r="I202" s="39">
        <v>7698193.6900000004</v>
      </c>
      <c r="J202" s="39">
        <v>1549439.44</v>
      </c>
      <c r="K202" s="39">
        <v>9247633.1300000008</v>
      </c>
      <c r="L202" s="43">
        <v>467</v>
      </c>
    </row>
    <row r="203" spans="1:12" s="40" customFormat="1" ht="13" x14ac:dyDescent="0.3">
      <c r="A203" s="16">
        <v>3220</v>
      </c>
      <c r="B203" s="17">
        <v>31</v>
      </c>
      <c r="C203" s="17">
        <v>7</v>
      </c>
      <c r="D203" s="17">
        <v>1</v>
      </c>
      <c r="E203" s="18" t="s">
        <v>213</v>
      </c>
      <c r="F203" s="39">
        <v>22282466.829999998</v>
      </c>
      <c r="G203" s="39">
        <v>1045100.91</v>
      </c>
      <c r="H203" s="39">
        <v>4581480.8</v>
      </c>
      <c r="I203" s="39">
        <v>27909048.539999999</v>
      </c>
      <c r="J203" s="39">
        <v>1324411.48</v>
      </c>
      <c r="K203" s="39">
        <v>29233460.02</v>
      </c>
      <c r="L203" s="43">
        <v>1816</v>
      </c>
    </row>
    <row r="204" spans="1:12" s="40" customFormat="1" ht="13" x14ac:dyDescent="0.3">
      <c r="A204" s="16">
        <v>3269</v>
      </c>
      <c r="B204" s="17">
        <v>13</v>
      </c>
      <c r="C204" s="17">
        <v>2</v>
      </c>
      <c r="D204" s="17">
        <v>1</v>
      </c>
      <c r="E204" s="18" t="s">
        <v>214</v>
      </c>
      <c r="F204" s="39">
        <v>468501229.81999999</v>
      </c>
      <c r="G204" s="39">
        <v>21682312.670000002</v>
      </c>
      <c r="H204" s="39">
        <v>47050719.579999998</v>
      </c>
      <c r="I204" s="39">
        <v>537234262.07000005</v>
      </c>
      <c r="J204" s="39">
        <v>34129688.030000001</v>
      </c>
      <c r="K204" s="39">
        <v>571363950.10000002</v>
      </c>
      <c r="L204" s="43">
        <v>26906</v>
      </c>
    </row>
    <row r="205" spans="1:12" s="40" customFormat="1" ht="13" x14ac:dyDescent="0.3">
      <c r="A205" s="16">
        <v>3276</v>
      </c>
      <c r="B205" s="17">
        <v>68</v>
      </c>
      <c r="C205" s="17">
        <v>6</v>
      </c>
      <c r="D205" s="17">
        <v>1</v>
      </c>
      <c r="E205" s="18" t="s">
        <v>215</v>
      </c>
      <c r="F205" s="39">
        <v>8600216.1099999994</v>
      </c>
      <c r="G205" s="39">
        <v>581406.04</v>
      </c>
      <c r="H205" s="39">
        <v>897643</v>
      </c>
      <c r="I205" s="39">
        <v>10079265.15</v>
      </c>
      <c r="J205" s="39">
        <v>362259.99</v>
      </c>
      <c r="K205" s="39">
        <v>10441525.140000001</v>
      </c>
      <c r="L205" s="43">
        <v>634</v>
      </c>
    </row>
    <row r="206" spans="1:12" s="40" customFormat="1" ht="13" x14ac:dyDescent="0.3">
      <c r="A206" s="16">
        <v>3290</v>
      </c>
      <c r="B206" s="17">
        <v>36</v>
      </c>
      <c r="C206" s="17">
        <v>7</v>
      </c>
      <c r="D206" s="17">
        <v>1</v>
      </c>
      <c r="E206" s="18" t="s">
        <v>216</v>
      </c>
      <c r="F206" s="39">
        <v>73217947.790000007</v>
      </c>
      <c r="G206" s="39">
        <v>2503525.84</v>
      </c>
      <c r="H206" s="39">
        <v>391479.59</v>
      </c>
      <c r="I206" s="39">
        <v>76112953.219999999</v>
      </c>
      <c r="J206" s="39">
        <v>2836370.59</v>
      </c>
      <c r="K206" s="39">
        <v>78949323.810000002</v>
      </c>
      <c r="L206" s="43">
        <v>5173</v>
      </c>
    </row>
    <row r="207" spans="1:12" s="40" customFormat="1" ht="13" x14ac:dyDescent="0.3">
      <c r="A207" s="16">
        <v>3297</v>
      </c>
      <c r="B207" s="17">
        <v>16</v>
      </c>
      <c r="C207" s="17">
        <v>12</v>
      </c>
      <c r="D207" s="17">
        <v>1</v>
      </c>
      <c r="E207" s="18" t="s">
        <v>217</v>
      </c>
      <c r="F207" s="39">
        <v>15320118.41</v>
      </c>
      <c r="G207" s="39">
        <v>1669046.8</v>
      </c>
      <c r="H207" s="39">
        <v>3828273.87</v>
      </c>
      <c r="I207" s="39">
        <v>20817439.079999998</v>
      </c>
      <c r="J207" s="39">
        <v>1026078.47</v>
      </c>
      <c r="K207" s="39">
        <v>21843517.550000001</v>
      </c>
      <c r="L207" s="43">
        <v>1243</v>
      </c>
    </row>
    <row r="208" spans="1:12" s="40" customFormat="1" ht="13" x14ac:dyDescent="0.3">
      <c r="A208" s="16">
        <v>1897</v>
      </c>
      <c r="B208" s="17">
        <v>40</v>
      </c>
      <c r="C208" s="17">
        <v>1</v>
      </c>
      <c r="D208" s="17">
        <v>3</v>
      </c>
      <c r="E208" s="18" t="s">
        <v>218</v>
      </c>
      <c r="F208" s="39">
        <v>8167406.6600000001</v>
      </c>
      <c r="G208" s="39">
        <v>448346</v>
      </c>
      <c r="H208" s="39">
        <v>1403225</v>
      </c>
      <c r="I208" s="39">
        <v>10018977.66</v>
      </c>
      <c r="J208" s="39">
        <v>236378.77</v>
      </c>
      <c r="K208" s="39">
        <v>10255356.43</v>
      </c>
      <c r="L208" s="43">
        <v>415</v>
      </c>
    </row>
    <row r="209" spans="1:12" s="40" customFormat="1" ht="13" x14ac:dyDescent="0.3">
      <c r="A209" s="16">
        <v>3304</v>
      </c>
      <c r="B209" s="17">
        <v>37</v>
      </c>
      <c r="C209" s="17">
        <v>9</v>
      </c>
      <c r="D209" s="17">
        <v>1</v>
      </c>
      <c r="E209" s="18" t="s">
        <v>219</v>
      </c>
      <c r="F209" s="39">
        <v>9928439.6799999997</v>
      </c>
      <c r="G209" s="39">
        <v>786305.16</v>
      </c>
      <c r="H209" s="39">
        <v>1642547.09</v>
      </c>
      <c r="I209" s="39">
        <v>12357291.93</v>
      </c>
      <c r="J209" s="39">
        <v>454675.99</v>
      </c>
      <c r="K209" s="39">
        <v>12811967.92</v>
      </c>
      <c r="L209" s="43">
        <v>721</v>
      </c>
    </row>
    <row r="210" spans="1:12" s="40" customFormat="1" ht="13" x14ac:dyDescent="0.3">
      <c r="A210" s="16">
        <v>3311</v>
      </c>
      <c r="B210" s="17">
        <v>38</v>
      </c>
      <c r="C210" s="17">
        <v>8</v>
      </c>
      <c r="D210" s="17">
        <v>1</v>
      </c>
      <c r="E210" s="18" t="s">
        <v>220</v>
      </c>
      <c r="F210" s="39">
        <v>28122109.890000001</v>
      </c>
      <c r="G210" s="39">
        <v>1173120.6100000001</v>
      </c>
      <c r="H210" s="39">
        <v>4693609.92</v>
      </c>
      <c r="I210" s="39">
        <v>33988840.420000002</v>
      </c>
      <c r="J210" s="39">
        <v>1446634.96</v>
      </c>
      <c r="K210" s="39">
        <v>35435475.380000003</v>
      </c>
      <c r="L210" s="43">
        <v>2177</v>
      </c>
    </row>
    <row r="211" spans="1:12" s="40" customFormat="1" ht="13" x14ac:dyDescent="0.3">
      <c r="A211" s="16">
        <v>3318</v>
      </c>
      <c r="B211" s="17">
        <v>68</v>
      </c>
      <c r="C211" s="17">
        <v>8</v>
      </c>
      <c r="D211" s="17">
        <v>1</v>
      </c>
      <c r="E211" s="18" t="s">
        <v>221</v>
      </c>
      <c r="F211" s="39">
        <v>7274955.6799999997</v>
      </c>
      <c r="G211" s="39">
        <v>282959.46000000002</v>
      </c>
      <c r="H211" s="39">
        <v>30330.61</v>
      </c>
      <c r="I211" s="39">
        <v>7588245.75</v>
      </c>
      <c r="J211" s="39">
        <v>385012.38</v>
      </c>
      <c r="K211" s="39">
        <v>7973258.1299999999</v>
      </c>
      <c r="L211" s="43">
        <v>503</v>
      </c>
    </row>
    <row r="212" spans="1:12" s="40" customFormat="1" ht="13" x14ac:dyDescent="0.3">
      <c r="A212" s="16">
        <v>3325</v>
      </c>
      <c r="B212" s="17">
        <v>24</v>
      </c>
      <c r="C212" s="17">
        <v>6</v>
      </c>
      <c r="D212" s="17">
        <v>1</v>
      </c>
      <c r="E212" s="18" t="s">
        <v>222</v>
      </c>
      <c r="F212" s="39">
        <v>12320573.939999999</v>
      </c>
      <c r="G212" s="39">
        <v>732848.12</v>
      </c>
      <c r="H212" s="39">
        <v>949667.38</v>
      </c>
      <c r="I212" s="39">
        <v>14003089.439999999</v>
      </c>
      <c r="J212" s="39">
        <v>575294.78</v>
      </c>
      <c r="K212" s="39">
        <v>14578384.220000001</v>
      </c>
      <c r="L212" s="43">
        <v>769</v>
      </c>
    </row>
    <row r="213" spans="1:12" s="40" customFormat="1" ht="13" x14ac:dyDescent="0.3">
      <c r="A213" s="16">
        <v>3332</v>
      </c>
      <c r="B213" s="17">
        <v>13</v>
      </c>
      <c r="C213" s="17">
        <v>2</v>
      </c>
      <c r="D213" s="17">
        <v>1</v>
      </c>
      <c r="E213" s="18" t="s">
        <v>223</v>
      </c>
      <c r="F213" s="39">
        <v>15207298.75</v>
      </c>
      <c r="G213" s="39">
        <v>859632.57</v>
      </c>
      <c r="H213" s="39">
        <v>1682069.8</v>
      </c>
      <c r="I213" s="39">
        <v>17749001.120000001</v>
      </c>
      <c r="J213" s="39">
        <v>724519.99</v>
      </c>
      <c r="K213" s="39">
        <v>18473521.109999999</v>
      </c>
      <c r="L213" s="43">
        <v>968</v>
      </c>
    </row>
    <row r="214" spans="1:12" s="40" customFormat="1" ht="13" x14ac:dyDescent="0.3">
      <c r="A214" s="16">
        <v>3339</v>
      </c>
      <c r="B214" s="17">
        <v>71</v>
      </c>
      <c r="C214" s="17">
        <v>5</v>
      </c>
      <c r="D214" s="17">
        <v>1</v>
      </c>
      <c r="E214" s="18" t="s">
        <v>224</v>
      </c>
      <c r="F214" s="39">
        <v>52552155.140000001</v>
      </c>
      <c r="G214" s="39">
        <v>2538591.79</v>
      </c>
      <c r="H214" s="39">
        <v>854226.98</v>
      </c>
      <c r="I214" s="39">
        <v>55944973.909999996</v>
      </c>
      <c r="J214" s="39">
        <v>2094624.31</v>
      </c>
      <c r="K214" s="39">
        <v>58039598.219999999</v>
      </c>
      <c r="L214" s="43">
        <v>3893</v>
      </c>
    </row>
    <row r="215" spans="1:12" s="40" customFormat="1" ht="13" x14ac:dyDescent="0.3">
      <c r="A215" s="16">
        <v>3360</v>
      </c>
      <c r="B215" s="17">
        <v>29</v>
      </c>
      <c r="C215" s="17">
        <v>5</v>
      </c>
      <c r="D215" s="17">
        <v>1</v>
      </c>
      <c r="E215" s="18" t="s">
        <v>225</v>
      </c>
      <c r="F215" s="39">
        <v>20616951.09</v>
      </c>
      <c r="G215" s="39">
        <v>790596.76</v>
      </c>
      <c r="H215" s="39">
        <v>3319233.13</v>
      </c>
      <c r="I215" s="39">
        <v>24726780.98</v>
      </c>
      <c r="J215" s="39">
        <v>2578578.2400000002</v>
      </c>
      <c r="K215" s="39">
        <v>27305359.219999999</v>
      </c>
      <c r="L215" s="43">
        <v>1448</v>
      </c>
    </row>
    <row r="216" spans="1:12" s="40" customFormat="1" ht="13" x14ac:dyDescent="0.3">
      <c r="A216" s="16">
        <v>3367</v>
      </c>
      <c r="B216" s="17">
        <v>14</v>
      </c>
      <c r="C216" s="17">
        <v>6</v>
      </c>
      <c r="D216" s="17">
        <v>1</v>
      </c>
      <c r="E216" s="18" t="s">
        <v>226</v>
      </c>
      <c r="F216" s="39">
        <v>14681930.68</v>
      </c>
      <c r="G216" s="39">
        <v>526753.93999999994</v>
      </c>
      <c r="H216" s="39">
        <v>2302773.86</v>
      </c>
      <c r="I216" s="39">
        <v>17511458.48</v>
      </c>
      <c r="J216" s="39">
        <v>918018.91</v>
      </c>
      <c r="K216" s="39">
        <v>18429477.390000001</v>
      </c>
      <c r="L216" s="43">
        <v>1047</v>
      </c>
    </row>
    <row r="217" spans="1:12" s="40" customFormat="1" ht="13" x14ac:dyDescent="0.3">
      <c r="A217" s="16">
        <v>3381</v>
      </c>
      <c r="B217" s="17">
        <v>13</v>
      </c>
      <c r="C217" s="17">
        <v>2</v>
      </c>
      <c r="D217" s="17">
        <v>1</v>
      </c>
      <c r="E217" s="18" t="s">
        <v>227</v>
      </c>
      <c r="F217" s="39">
        <v>35077145.32</v>
      </c>
      <c r="G217" s="39">
        <v>1132645.46</v>
      </c>
      <c r="H217" s="39">
        <v>6281020.3099999996</v>
      </c>
      <c r="I217" s="39">
        <v>42490811.090000004</v>
      </c>
      <c r="J217" s="39">
        <v>2154709.81</v>
      </c>
      <c r="K217" s="39">
        <v>44645520.899999999</v>
      </c>
      <c r="L217" s="43">
        <v>2350</v>
      </c>
    </row>
    <row r="218" spans="1:12" s="40" customFormat="1" ht="13" x14ac:dyDescent="0.3">
      <c r="A218" s="16">
        <v>3409</v>
      </c>
      <c r="B218" s="17">
        <v>60</v>
      </c>
      <c r="C218" s="17">
        <v>10</v>
      </c>
      <c r="D218" s="17">
        <v>1</v>
      </c>
      <c r="E218" s="18" t="s">
        <v>228</v>
      </c>
      <c r="F218" s="39">
        <v>20626747.579999998</v>
      </c>
      <c r="G218" s="39">
        <v>1386755.04</v>
      </c>
      <c r="H218" s="39">
        <v>2930532.87</v>
      </c>
      <c r="I218" s="39">
        <v>24944035.489999998</v>
      </c>
      <c r="J218" s="39">
        <v>2534753.38</v>
      </c>
      <c r="K218" s="39">
        <v>27478788.870000001</v>
      </c>
      <c r="L218" s="43">
        <v>2165</v>
      </c>
    </row>
    <row r="219" spans="1:12" s="40" customFormat="1" ht="13" x14ac:dyDescent="0.3">
      <c r="A219" s="16">
        <v>3427</v>
      </c>
      <c r="B219" s="17">
        <v>2</v>
      </c>
      <c r="C219" s="17">
        <v>12</v>
      </c>
      <c r="D219" s="17">
        <v>1</v>
      </c>
      <c r="E219" s="18" t="s">
        <v>229</v>
      </c>
      <c r="F219" s="39">
        <v>4124547.35</v>
      </c>
      <c r="G219" s="39">
        <v>254068.2</v>
      </c>
      <c r="H219" s="39">
        <v>213887.12</v>
      </c>
      <c r="I219" s="39">
        <v>4592502.67</v>
      </c>
      <c r="J219" s="39">
        <v>217000.66</v>
      </c>
      <c r="K219" s="39">
        <v>4809503.33</v>
      </c>
      <c r="L219" s="43">
        <v>262</v>
      </c>
    </row>
    <row r="220" spans="1:12" s="40" customFormat="1" ht="13" x14ac:dyDescent="0.3">
      <c r="A220" s="16">
        <v>3428</v>
      </c>
      <c r="B220" s="17">
        <v>27</v>
      </c>
      <c r="C220" s="17">
        <v>4</v>
      </c>
      <c r="D220" s="17">
        <v>1</v>
      </c>
      <c r="E220" s="18" t="s">
        <v>230</v>
      </c>
      <c r="F220" s="39">
        <v>11731543.310000001</v>
      </c>
      <c r="G220" s="39">
        <v>1005488.12</v>
      </c>
      <c r="H220" s="39">
        <v>1634080.58</v>
      </c>
      <c r="I220" s="39">
        <v>14371112.01</v>
      </c>
      <c r="J220" s="39">
        <v>749794.61</v>
      </c>
      <c r="K220" s="39">
        <v>15120906.619999999</v>
      </c>
      <c r="L220" s="43">
        <v>721</v>
      </c>
    </row>
    <row r="221" spans="1:12" s="40" customFormat="1" ht="13" x14ac:dyDescent="0.3">
      <c r="A221" s="16">
        <v>3430</v>
      </c>
      <c r="B221" s="17">
        <v>70</v>
      </c>
      <c r="C221" s="17">
        <v>6</v>
      </c>
      <c r="D221" s="17">
        <v>1</v>
      </c>
      <c r="E221" s="18" t="s">
        <v>231</v>
      </c>
      <c r="F221" s="39">
        <v>52907598.68</v>
      </c>
      <c r="G221" s="39">
        <v>1553275.47</v>
      </c>
      <c r="H221" s="39">
        <v>15962667.300000001</v>
      </c>
      <c r="I221" s="39">
        <v>70423541.450000003</v>
      </c>
      <c r="J221" s="39">
        <v>3833035.27</v>
      </c>
      <c r="K221" s="39">
        <v>74256576.719999999</v>
      </c>
      <c r="L221" s="43">
        <v>3547</v>
      </c>
    </row>
    <row r="222" spans="1:12" s="40" customFormat="1" ht="13" x14ac:dyDescent="0.3">
      <c r="A222" s="16">
        <v>3434</v>
      </c>
      <c r="B222" s="17">
        <v>72</v>
      </c>
      <c r="C222" s="17">
        <v>8</v>
      </c>
      <c r="D222" s="17">
        <v>1</v>
      </c>
      <c r="E222" s="18" t="s">
        <v>232</v>
      </c>
      <c r="F222" s="39">
        <v>21259044.969999999</v>
      </c>
      <c r="G222" s="39">
        <v>1378993.46</v>
      </c>
      <c r="H222" s="39">
        <v>3649295.25</v>
      </c>
      <c r="I222" s="39">
        <v>26287333.68</v>
      </c>
      <c r="J222" s="39">
        <v>977625.58</v>
      </c>
      <c r="K222" s="39">
        <v>27264959.260000002</v>
      </c>
      <c r="L222" s="43">
        <v>1077</v>
      </c>
    </row>
    <row r="223" spans="1:12" s="40" customFormat="1" ht="13" x14ac:dyDescent="0.3">
      <c r="A223" s="16">
        <v>3437</v>
      </c>
      <c r="B223" s="17">
        <v>67</v>
      </c>
      <c r="C223" s="17">
        <v>1</v>
      </c>
      <c r="D223" s="17">
        <v>1</v>
      </c>
      <c r="E223" s="18" t="s">
        <v>233</v>
      </c>
      <c r="F223" s="39">
        <v>55342516.609999999</v>
      </c>
      <c r="G223" s="39">
        <v>2272628.08</v>
      </c>
      <c r="H223" s="39">
        <v>15922263.1</v>
      </c>
      <c r="I223" s="39">
        <v>73537407.790000007</v>
      </c>
      <c r="J223" s="39">
        <v>5164944.3499999996</v>
      </c>
      <c r="K223" s="39">
        <v>78702352.140000001</v>
      </c>
      <c r="L223" s="43">
        <v>4044</v>
      </c>
    </row>
    <row r="224" spans="1:12" s="40" customFormat="1" ht="13" x14ac:dyDescent="0.3">
      <c r="A224" s="16">
        <v>3444</v>
      </c>
      <c r="B224" s="17">
        <v>17</v>
      </c>
      <c r="C224" s="17">
        <v>11</v>
      </c>
      <c r="D224" s="17">
        <v>1</v>
      </c>
      <c r="E224" s="18" t="s">
        <v>234</v>
      </c>
      <c r="F224" s="39">
        <v>42594512.170000002</v>
      </c>
      <c r="G224" s="39">
        <v>2807805.94</v>
      </c>
      <c r="H224" s="39">
        <v>3617472.88</v>
      </c>
      <c r="I224" s="39">
        <v>49019790.990000002</v>
      </c>
      <c r="J224" s="39">
        <v>2660910.3199999998</v>
      </c>
      <c r="K224" s="39">
        <v>51680701.310000002</v>
      </c>
      <c r="L224" s="43">
        <v>3612</v>
      </c>
    </row>
    <row r="225" spans="1:12" s="40" customFormat="1" ht="13" x14ac:dyDescent="0.3">
      <c r="A225" s="16">
        <v>3479</v>
      </c>
      <c r="B225" s="17">
        <v>45</v>
      </c>
      <c r="C225" s="17">
        <v>1</v>
      </c>
      <c r="D225" s="17">
        <v>1</v>
      </c>
      <c r="E225" s="18" t="s">
        <v>235</v>
      </c>
      <c r="F225" s="39">
        <v>50314603.32</v>
      </c>
      <c r="G225" s="39">
        <v>2848020.93</v>
      </c>
      <c r="H225" s="39">
        <v>4589808.96</v>
      </c>
      <c r="I225" s="39">
        <v>57752433.210000001</v>
      </c>
      <c r="J225" s="39">
        <v>3595835.2</v>
      </c>
      <c r="K225" s="39">
        <v>61348268.409999996</v>
      </c>
      <c r="L225" s="43">
        <v>3545</v>
      </c>
    </row>
    <row r="226" spans="1:12" s="40" customFormat="1" ht="13" x14ac:dyDescent="0.3">
      <c r="A226" s="16">
        <v>3484</v>
      </c>
      <c r="B226" s="17">
        <v>26</v>
      </c>
      <c r="C226" s="17">
        <v>12</v>
      </c>
      <c r="D226" s="17">
        <v>1</v>
      </c>
      <c r="E226" s="18" t="s">
        <v>236</v>
      </c>
      <c r="F226" s="39">
        <v>2874823.85</v>
      </c>
      <c r="G226" s="39">
        <v>213387.07</v>
      </c>
      <c r="H226" s="39">
        <v>32493.25</v>
      </c>
      <c r="I226" s="39">
        <v>3120704.17</v>
      </c>
      <c r="J226" s="39">
        <v>344538.72</v>
      </c>
      <c r="K226" s="39">
        <v>3465242.89</v>
      </c>
      <c r="L226" s="43">
        <v>130</v>
      </c>
    </row>
    <row r="227" spans="1:12" s="40" customFormat="1" ht="13" x14ac:dyDescent="0.3">
      <c r="A227" s="16">
        <v>3500</v>
      </c>
      <c r="B227" s="17">
        <v>35</v>
      </c>
      <c r="C227" s="17">
        <v>9</v>
      </c>
      <c r="D227" s="17">
        <v>1</v>
      </c>
      <c r="E227" s="18" t="s">
        <v>237</v>
      </c>
      <c r="F227" s="39">
        <v>33947220.770000003</v>
      </c>
      <c r="G227" s="39">
        <v>2459450.94</v>
      </c>
      <c r="H227" s="39">
        <v>86578.48</v>
      </c>
      <c r="I227" s="39">
        <v>36493250.189999998</v>
      </c>
      <c r="J227" s="39">
        <v>1809709.64</v>
      </c>
      <c r="K227" s="39">
        <v>38302959.829999998</v>
      </c>
      <c r="L227" s="43">
        <v>2348</v>
      </c>
    </row>
    <row r="228" spans="1:12" s="40" customFormat="1" ht="13" x14ac:dyDescent="0.3">
      <c r="A228" s="16">
        <v>3528</v>
      </c>
      <c r="B228" s="17">
        <v>67</v>
      </c>
      <c r="C228" s="17">
        <v>1</v>
      </c>
      <c r="D228" s="17">
        <v>3</v>
      </c>
      <c r="E228" s="18" t="s">
        <v>238</v>
      </c>
      <c r="F228" s="39">
        <v>10606561.710000001</v>
      </c>
      <c r="G228" s="39">
        <v>343534.95</v>
      </c>
      <c r="H228" s="39">
        <v>59422.67</v>
      </c>
      <c r="I228" s="39">
        <v>11009519.33</v>
      </c>
      <c r="J228" s="39">
        <v>478349.35</v>
      </c>
      <c r="K228" s="39">
        <v>11487868.68</v>
      </c>
      <c r="L228" s="43">
        <v>910</v>
      </c>
    </row>
    <row r="229" spans="1:12" s="40" customFormat="1" ht="13" x14ac:dyDescent="0.3">
      <c r="A229" s="16">
        <v>3549</v>
      </c>
      <c r="B229" s="17">
        <v>13</v>
      </c>
      <c r="C229" s="17">
        <v>2</v>
      </c>
      <c r="D229" s="17">
        <v>1</v>
      </c>
      <c r="E229" s="18" t="s">
        <v>239</v>
      </c>
      <c r="F229" s="39">
        <v>108223844.41</v>
      </c>
      <c r="G229" s="39">
        <v>3611620.03</v>
      </c>
      <c r="H229" s="39">
        <v>16037578.75</v>
      </c>
      <c r="I229" s="39">
        <v>127873043.19</v>
      </c>
      <c r="J229" s="39">
        <v>3796589.76</v>
      </c>
      <c r="K229" s="39">
        <v>131669632.95</v>
      </c>
      <c r="L229" s="43">
        <v>7227</v>
      </c>
    </row>
    <row r="230" spans="1:12" s="40" customFormat="1" ht="13" x14ac:dyDescent="0.3">
      <c r="A230" s="16">
        <v>3612</v>
      </c>
      <c r="B230" s="17">
        <v>53</v>
      </c>
      <c r="C230" s="17">
        <v>2</v>
      </c>
      <c r="D230" s="17">
        <v>1</v>
      </c>
      <c r="E230" s="18" t="s">
        <v>240</v>
      </c>
      <c r="F230" s="39">
        <v>42507216.630000003</v>
      </c>
      <c r="G230" s="39">
        <v>2251569.4500000002</v>
      </c>
      <c r="H230" s="39">
        <v>6267033.7999999998</v>
      </c>
      <c r="I230" s="39">
        <v>51025819.880000003</v>
      </c>
      <c r="J230" s="39">
        <v>1876010.14</v>
      </c>
      <c r="K230" s="39">
        <v>52901830.020000003</v>
      </c>
      <c r="L230" s="43">
        <v>3434</v>
      </c>
    </row>
    <row r="231" spans="1:12" s="40" customFormat="1" ht="13" x14ac:dyDescent="0.3">
      <c r="A231" s="16">
        <v>3619</v>
      </c>
      <c r="B231" s="17">
        <v>40</v>
      </c>
      <c r="C231" s="17">
        <v>1</v>
      </c>
      <c r="D231" s="17">
        <v>1</v>
      </c>
      <c r="E231" s="18" t="s">
        <v>241</v>
      </c>
      <c r="F231" s="39">
        <v>1320518537.4000001</v>
      </c>
      <c r="G231" s="39">
        <v>82535158.019999996</v>
      </c>
      <c r="H231" s="39">
        <v>192506699.81999999</v>
      </c>
      <c r="I231" s="39">
        <v>1595560395.2</v>
      </c>
      <c r="J231" s="39">
        <v>102033767.29000001</v>
      </c>
      <c r="K231" s="39">
        <v>1697594162.5</v>
      </c>
      <c r="L231" s="43">
        <v>68954</v>
      </c>
    </row>
    <row r="232" spans="1:12" s="40" customFormat="1" ht="13" x14ac:dyDescent="0.3">
      <c r="A232" s="16">
        <v>3633</v>
      </c>
      <c r="B232" s="17">
        <v>25</v>
      </c>
      <c r="C232" s="17">
        <v>3</v>
      </c>
      <c r="D232" s="17">
        <v>1</v>
      </c>
      <c r="E232" s="18" t="s">
        <v>242</v>
      </c>
      <c r="F232" s="39">
        <v>11731276.15</v>
      </c>
      <c r="G232" s="39">
        <v>544229.77</v>
      </c>
      <c r="H232" s="39">
        <v>1150803.33</v>
      </c>
      <c r="I232" s="39">
        <v>13426309.25</v>
      </c>
      <c r="J232" s="39">
        <v>581306</v>
      </c>
      <c r="K232" s="39">
        <v>14007615.25</v>
      </c>
      <c r="L232" s="43">
        <v>744</v>
      </c>
    </row>
    <row r="233" spans="1:12" s="40" customFormat="1" ht="13" x14ac:dyDescent="0.3">
      <c r="A233" s="16">
        <v>3640</v>
      </c>
      <c r="B233" s="17">
        <v>43</v>
      </c>
      <c r="C233" s="17">
        <v>9</v>
      </c>
      <c r="D233" s="17">
        <v>3</v>
      </c>
      <c r="E233" s="18" t="s">
        <v>243</v>
      </c>
      <c r="F233" s="39">
        <v>9759807.0099999998</v>
      </c>
      <c r="G233" s="39">
        <v>644401.28</v>
      </c>
      <c r="H233" s="39">
        <v>1027601.67</v>
      </c>
      <c r="I233" s="39">
        <v>11431809.960000001</v>
      </c>
      <c r="J233" s="39">
        <v>362452.82</v>
      </c>
      <c r="K233" s="39">
        <v>11794262.779999999</v>
      </c>
      <c r="L233" s="43">
        <v>555</v>
      </c>
    </row>
    <row r="234" spans="1:12" s="40" customFormat="1" ht="13" x14ac:dyDescent="0.3">
      <c r="A234" s="16">
        <v>3661</v>
      </c>
      <c r="B234" s="17">
        <v>36</v>
      </c>
      <c r="C234" s="17">
        <v>7</v>
      </c>
      <c r="D234" s="17">
        <v>1</v>
      </c>
      <c r="E234" s="18" t="s">
        <v>244</v>
      </c>
      <c r="F234" s="39">
        <v>11133337.82</v>
      </c>
      <c r="G234" s="39">
        <v>486028</v>
      </c>
      <c r="H234" s="39">
        <v>1561424.43</v>
      </c>
      <c r="I234" s="39">
        <v>13180790.25</v>
      </c>
      <c r="J234" s="39">
        <v>817049.15</v>
      </c>
      <c r="K234" s="39">
        <v>13997839.4</v>
      </c>
      <c r="L234" s="43">
        <v>845</v>
      </c>
    </row>
    <row r="235" spans="1:12" s="40" customFormat="1" ht="13" x14ac:dyDescent="0.3">
      <c r="A235" s="16">
        <v>3668</v>
      </c>
      <c r="B235" s="17">
        <v>6</v>
      </c>
      <c r="C235" s="17">
        <v>10</v>
      </c>
      <c r="D235" s="17">
        <v>1</v>
      </c>
      <c r="E235" s="18" t="s">
        <v>245</v>
      </c>
      <c r="F235" s="39">
        <v>12596289.57</v>
      </c>
      <c r="G235" s="39">
        <v>2871537.63</v>
      </c>
      <c r="H235" s="39">
        <v>1348937.35</v>
      </c>
      <c r="I235" s="39">
        <v>16816764.550000001</v>
      </c>
      <c r="J235" s="39">
        <v>868767.64</v>
      </c>
      <c r="K235" s="39">
        <v>17685532.190000001</v>
      </c>
      <c r="L235" s="43">
        <v>976</v>
      </c>
    </row>
    <row r="236" spans="1:12" s="40" customFormat="1" ht="13" x14ac:dyDescent="0.3">
      <c r="A236" s="16">
        <v>3675</v>
      </c>
      <c r="B236" s="17">
        <v>13</v>
      </c>
      <c r="C236" s="17">
        <v>2</v>
      </c>
      <c r="D236" s="17">
        <v>1</v>
      </c>
      <c r="E236" s="18" t="s">
        <v>246</v>
      </c>
      <c r="F236" s="39">
        <v>56169520.25</v>
      </c>
      <c r="G236" s="39">
        <v>2994996.18</v>
      </c>
      <c r="H236" s="39">
        <v>6571919.5599999996</v>
      </c>
      <c r="I236" s="39">
        <v>65736435.990000002</v>
      </c>
      <c r="J236" s="39">
        <v>3565999.3</v>
      </c>
      <c r="K236" s="39">
        <v>69302435.290000007</v>
      </c>
      <c r="L236" s="43">
        <v>3329</v>
      </c>
    </row>
    <row r="237" spans="1:12" s="40" customFormat="1" ht="13" x14ac:dyDescent="0.3">
      <c r="A237" s="16">
        <v>3682</v>
      </c>
      <c r="B237" s="17">
        <v>23</v>
      </c>
      <c r="C237" s="17">
        <v>2</v>
      </c>
      <c r="D237" s="17">
        <v>1</v>
      </c>
      <c r="E237" s="18" t="s">
        <v>247</v>
      </c>
      <c r="F237" s="39">
        <v>34269036.090000004</v>
      </c>
      <c r="G237" s="39">
        <v>1315216.05</v>
      </c>
      <c r="H237" s="39">
        <v>4755983.17</v>
      </c>
      <c r="I237" s="39">
        <v>40340235.310000002</v>
      </c>
      <c r="J237" s="39">
        <v>3568106.44</v>
      </c>
      <c r="K237" s="39">
        <v>43908341.75</v>
      </c>
      <c r="L237" s="43">
        <v>2321</v>
      </c>
    </row>
    <row r="238" spans="1:12" s="40" customFormat="1" ht="13" x14ac:dyDescent="0.3">
      <c r="A238" s="16">
        <v>3689</v>
      </c>
      <c r="B238" s="17">
        <v>39</v>
      </c>
      <c r="C238" s="17">
        <v>5</v>
      </c>
      <c r="D238" s="17">
        <v>1</v>
      </c>
      <c r="E238" s="18" t="s">
        <v>248</v>
      </c>
      <c r="F238" s="39">
        <v>10904943.52</v>
      </c>
      <c r="G238" s="39">
        <v>787552.23</v>
      </c>
      <c r="H238" s="39">
        <v>521425</v>
      </c>
      <c r="I238" s="39">
        <v>12213920.75</v>
      </c>
      <c r="J238" s="39">
        <v>465728.55</v>
      </c>
      <c r="K238" s="39">
        <v>12679649.300000001</v>
      </c>
      <c r="L238" s="43">
        <v>685</v>
      </c>
    </row>
    <row r="239" spans="1:12" s="40" customFormat="1" ht="13" x14ac:dyDescent="0.3">
      <c r="A239" s="16">
        <v>3696</v>
      </c>
      <c r="B239" s="17">
        <v>23</v>
      </c>
      <c r="C239" s="17">
        <v>2</v>
      </c>
      <c r="D239" s="17">
        <v>1</v>
      </c>
      <c r="E239" s="18" t="s">
        <v>249</v>
      </c>
      <c r="F239" s="39">
        <v>5756169.5</v>
      </c>
      <c r="G239" s="39">
        <v>146029.29999999999</v>
      </c>
      <c r="H239" s="39">
        <v>369925</v>
      </c>
      <c r="I239" s="39">
        <v>6272123.7999999998</v>
      </c>
      <c r="J239" s="39">
        <v>301492.65000000002</v>
      </c>
      <c r="K239" s="39">
        <v>6573616.4500000002</v>
      </c>
      <c r="L239" s="43">
        <v>328</v>
      </c>
    </row>
    <row r="240" spans="1:12" s="40" customFormat="1" ht="13" x14ac:dyDescent="0.3">
      <c r="A240" s="16">
        <v>3787</v>
      </c>
      <c r="B240" s="17">
        <v>37</v>
      </c>
      <c r="C240" s="17">
        <v>9</v>
      </c>
      <c r="D240" s="17">
        <v>1</v>
      </c>
      <c r="E240" s="18" t="s">
        <v>250</v>
      </c>
      <c r="F240" s="39">
        <v>25762549.719999999</v>
      </c>
      <c r="G240" s="39">
        <v>1295150.75</v>
      </c>
      <c r="H240" s="39">
        <v>2059750.58</v>
      </c>
      <c r="I240" s="39">
        <v>29117451.050000001</v>
      </c>
      <c r="J240" s="39">
        <v>1456957.04</v>
      </c>
      <c r="K240" s="39">
        <v>30574408.09</v>
      </c>
      <c r="L240" s="43">
        <v>1954</v>
      </c>
    </row>
    <row r="241" spans="1:12" s="40" customFormat="1" ht="13" x14ac:dyDescent="0.3">
      <c r="A241" s="16">
        <v>3794</v>
      </c>
      <c r="B241" s="17">
        <v>13</v>
      </c>
      <c r="C241" s="17">
        <v>2</v>
      </c>
      <c r="D241" s="17">
        <v>1</v>
      </c>
      <c r="E241" s="18" t="s">
        <v>251</v>
      </c>
      <c r="F241" s="39">
        <v>35402070.509999998</v>
      </c>
      <c r="G241" s="39">
        <v>1326196.79</v>
      </c>
      <c r="H241" s="39">
        <v>1167614.76</v>
      </c>
      <c r="I241" s="39">
        <v>37895882.060000002</v>
      </c>
      <c r="J241" s="39">
        <v>1600698.03</v>
      </c>
      <c r="K241" s="39">
        <v>39496580.090000004</v>
      </c>
      <c r="L241" s="43">
        <v>2324</v>
      </c>
    </row>
    <row r="242" spans="1:12" s="40" customFormat="1" ht="13" x14ac:dyDescent="0.3">
      <c r="A242" s="16">
        <v>3822</v>
      </c>
      <c r="B242" s="17">
        <v>67</v>
      </c>
      <c r="C242" s="17">
        <v>1</v>
      </c>
      <c r="D242" s="17">
        <v>1</v>
      </c>
      <c r="E242" s="18" t="s">
        <v>252</v>
      </c>
      <c r="F242" s="39">
        <v>60640214.030000001</v>
      </c>
      <c r="G242" s="39">
        <v>3349142.89</v>
      </c>
      <c r="H242" s="39">
        <v>12836324.050000001</v>
      </c>
      <c r="I242" s="39">
        <v>76825680.969999999</v>
      </c>
      <c r="J242" s="39">
        <v>3225802.46</v>
      </c>
      <c r="K242" s="39">
        <v>80051483.430000007</v>
      </c>
      <c r="L242" s="43">
        <v>4812</v>
      </c>
    </row>
    <row r="243" spans="1:12" s="40" customFormat="1" ht="13" x14ac:dyDescent="0.3">
      <c r="A243" s="16">
        <v>3857</v>
      </c>
      <c r="B243" s="17">
        <v>67</v>
      </c>
      <c r="C243" s="17">
        <v>1</v>
      </c>
      <c r="D243" s="17">
        <v>1</v>
      </c>
      <c r="E243" s="18" t="s">
        <v>253</v>
      </c>
      <c r="F243" s="39">
        <v>63209376.939999998</v>
      </c>
      <c r="G243" s="39">
        <v>3433763.45</v>
      </c>
      <c r="H243" s="39">
        <v>7915812.21</v>
      </c>
      <c r="I243" s="39">
        <v>74558952.599999994</v>
      </c>
      <c r="J243" s="39">
        <v>2519168.16</v>
      </c>
      <c r="K243" s="39">
        <v>77078120.760000005</v>
      </c>
      <c r="L243" s="43">
        <v>4797</v>
      </c>
    </row>
    <row r="244" spans="1:12" s="40" customFormat="1" ht="13" x14ac:dyDescent="0.3">
      <c r="A244" s="16">
        <v>3871</v>
      </c>
      <c r="B244" s="17">
        <v>29</v>
      </c>
      <c r="C244" s="17">
        <v>5</v>
      </c>
      <c r="D244" s="17">
        <v>1</v>
      </c>
      <c r="E244" s="18" t="s">
        <v>254</v>
      </c>
      <c r="F244" s="39">
        <v>11222628.83</v>
      </c>
      <c r="G244" s="39">
        <v>651429.17000000004</v>
      </c>
      <c r="H244" s="39">
        <v>464550.66</v>
      </c>
      <c r="I244" s="39">
        <v>12338608.66</v>
      </c>
      <c r="J244" s="39">
        <v>742235.08</v>
      </c>
      <c r="K244" s="39">
        <v>13080843.74</v>
      </c>
      <c r="L244" s="43">
        <v>724</v>
      </c>
    </row>
    <row r="245" spans="1:12" s="40" customFormat="1" ht="13" x14ac:dyDescent="0.3">
      <c r="A245" s="16">
        <v>3892</v>
      </c>
      <c r="B245" s="17">
        <v>70</v>
      </c>
      <c r="C245" s="17">
        <v>6</v>
      </c>
      <c r="D245" s="17">
        <v>1</v>
      </c>
      <c r="E245" s="18" t="s">
        <v>255</v>
      </c>
      <c r="F245" s="39">
        <v>88837937.599999994</v>
      </c>
      <c r="G245" s="39">
        <v>3061723.3</v>
      </c>
      <c r="H245" s="39">
        <v>10688239.630000001</v>
      </c>
      <c r="I245" s="39">
        <v>102587900.53</v>
      </c>
      <c r="J245" s="39">
        <v>3993908.73</v>
      </c>
      <c r="K245" s="39">
        <v>106581809.26000001</v>
      </c>
      <c r="L245" s="43">
        <v>7135</v>
      </c>
    </row>
    <row r="246" spans="1:12" s="40" customFormat="1" ht="13" x14ac:dyDescent="0.3">
      <c r="A246" s="16">
        <v>3899</v>
      </c>
      <c r="B246" s="17">
        <v>10</v>
      </c>
      <c r="C246" s="17">
        <v>10</v>
      </c>
      <c r="D246" s="17">
        <v>1</v>
      </c>
      <c r="E246" s="18" t="s">
        <v>256</v>
      </c>
      <c r="F246" s="39">
        <v>11591909.33</v>
      </c>
      <c r="G246" s="39">
        <v>606674.13</v>
      </c>
      <c r="H246" s="39">
        <v>320374.63</v>
      </c>
      <c r="I246" s="39">
        <v>12518958.09</v>
      </c>
      <c r="J246" s="39">
        <v>907330.34</v>
      </c>
      <c r="K246" s="39">
        <v>13426288.43</v>
      </c>
      <c r="L246" s="43">
        <v>880</v>
      </c>
    </row>
    <row r="247" spans="1:12" s="40" customFormat="1" ht="13" x14ac:dyDescent="0.3">
      <c r="A247" s="16">
        <v>3906</v>
      </c>
      <c r="B247" s="17">
        <v>71</v>
      </c>
      <c r="C247" s="17">
        <v>5</v>
      </c>
      <c r="D247" s="17">
        <v>1</v>
      </c>
      <c r="E247" s="18" t="s">
        <v>257</v>
      </c>
      <c r="F247" s="39">
        <v>16671142.189999999</v>
      </c>
      <c r="G247" s="39">
        <v>1078183.19</v>
      </c>
      <c r="H247" s="39">
        <v>2096388.76</v>
      </c>
      <c r="I247" s="39">
        <v>19845714.140000001</v>
      </c>
      <c r="J247" s="39">
        <v>969138.74</v>
      </c>
      <c r="K247" s="39">
        <v>20814852.879999999</v>
      </c>
      <c r="L247" s="43">
        <v>1048</v>
      </c>
    </row>
    <row r="248" spans="1:12" s="40" customFormat="1" ht="13" x14ac:dyDescent="0.3">
      <c r="A248" s="16">
        <v>3920</v>
      </c>
      <c r="B248" s="17">
        <v>9</v>
      </c>
      <c r="C248" s="17">
        <v>10</v>
      </c>
      <c r="D248" s="17">
        <v>1</v>
      </c>
      <c r="E248" s="18" t="s">
        <v>258</v>
      </c>
      <c r="F248" s="39">
        <v>5388998.2599999998</v>
      </c>
      <c r="G248" s="39">
        <v>228694.72</v>
      </c>
      <c r="H248" s="39">
        <v>87420.2</v>
      </c>
      <c r="I248" s="39">
        <v>5705113.1799999997</v>
      </c>
      <c r="J248" s="39">
        <v>255150.49</v>
      </c>
      <c r="K248" s="39">
        <v>5960263.6699999999</v>
      </c>
      <c r="L248" s="43">
        <v>289</v>
      </c>
    </row>
    <row r="249" spans="1:12" s="40" customFormat="1" ht="13" x14ac:dyDescent="0.3">
      <c r="A249" s="16">
        <v>3925</v>
      </c>
      <c r="B249" s="17">
        <v>67</v>
      </c>
      <c r="C249" s="17">
        <v>1</v>
      </c>
      <c r="D249" s="17">
        <v>1</v>
      </c>
      <c r="E249" s="18" t="s">
        <v>259</v>
      </c>
      <c r="F249" s="39">
        <v>60913025.200000003</v>
      </c>
      <c r="G249" s="39">
        <v>3545421.2</v>
      </c>
      <c r="H249" s="39">
        <v>6444073.7300000004</v>
      </c>
      <c r="I249" s="39">
        <v>70902520.129999995</v>
      </c>
      <c r="J249" s="39">
        <v>3720045.06</v>
      </c>
      <c r="K249" s="39">
        <v>74622565.189999998</v>
      </c>
      <c r="L249" s="43">
        <v>4492</v>
      </c>
    </row>
    <row r="250" spans="1:12" s="40" customFormat="1" ht="13" x14ac:dyDescent="0.3">
      <c r="A250" s="16">
        <v>3934</v>
      </c>
      <c r="B250" s="17">
        <v>23</v>
      </c>
      <c r="C250" s="17">
        <v>2</v>
      </c>
      <c r="D250" s="17">
        <v>1</v>
      </c>
      <c r="E250" s="18" t="s">
        <v>260</v>
      </c>
      <c r="F250" s="39">
        <v>12430158.85</v>
      </c>
      <c r="G250" s="39">
        <v>325280.62</v>
      </c>
      <c r="H250" s="39">
        <v>6276023.8399999999</v>
      </c>
      <c r="I250" s="39">
        <v>19031463.309999999</v>
      </c>
      <c r="J250" s="39">
        <v>715702.98</v>
      </c>
      <c r="K250" s="39">
        <v>19747166.289999999</v>
      </c>
      <c r="L250" s="43">
        <v>875</v>
      </c>
    </row>
    <row r="251" spans="1:12" s="40" customFormat="1" ht="13" x14ac:dyDescent="0.3">
      <c r="A251" s="16">
        <v>3941</v>
      </c>
      <c r="B251" s="17">
        <v>8</v>
      </c>
      <c r="C251" s="17">
        <v>7</v>
      </c>
      <c r="D251" s="17">
        <v>1</v>
      </c>
      <c r="E251" s="18" t="s">
        <v>261</v>
      </c>
      <c r="F251" s="39">
        <v>14039513.35</v>
      </c>
      <c r="G251" s="39">
        <v>467535.11</v>
      </c>
      <c r="H251" s="39">
        <v>1729470</v>
      </c>
      <c r="I251" s="39">
        <v>16236518.460000001</v>
      </c>
      <c r="J251" s="39">
        <v>838481.17</v>
      </c>
      <c r="K251" s="39">
        <v>17074999.629999999</v>
      </c>
      <c r="L251" s="43">
        <v>1185</v>
      </c>
    </row>
    <row r="252" spans="1:12" s="40" customFormat="1" ht="13" x14ac:dyDescent="0.3">
      <c r="A252" s="16">
        <v>3948</v>
      </c>
      <c r="B252" s="17">
        <v>29</v>
      </c>
      <c r="C252" s="17">
        <v>5</v>
      </c>
      <c r="D252" s="17">
        <v>1</v>
      </c>
      <c r="E252" s="18" t="s">
        <v>262</v>
      </c>
      <c r="F252" s="39">
        <v>8560700.4900000002</v>
      </c>
      <c r="G252" s="39">
        <v>510133.19</v>
      </c>
      <c r="H252" s="39">
        <v>70175.12</v>
      </c>
      <c r="I252" s="39">
        <v>9141008.8000000007</v>
      </c>
      <c r="J252" s="39">
        <v>426611.99</v>
      </c>
      <c r="K252" s="39">
        <v>9567620.7899999991</v>
      </c>
      <c r="L252" s="43">
        <v>569</v>
      </c>
    </row>
    <row r="253" spans="1:12" s="40" customFormat="1" ht="13" x14ac:dyDescent="0.3">
      <c r="A253" s="16">
        <v>3955</v>
      </c>
      <c r="B253" s="17">
        <v>68</v>
      </c>
      <c r="C253" s="17">
        <v>6</v>
      </c>
      <c r="D253" s="17">
        <v>1</v>
      </c>
      <c r="E253" s="18" t="s">
        <v>263</v>
      </c>
      <c r="F253" s="39">
        <v>30220376.620000001</v>
      </c>
      <c r="G253" s="39">
        <v>1094380.1200000001</v>
      </c>
      <c r="H253" s="39">
        <v>2152258.88</v>
      </c>
      <c r="I253" s="39">
        <v>33467015.620000001</v>
      </c>
      <c r="J253" s="39">
        <v>1478488.1</v>
      </c>
      <c r="K253" s="39">
        <v>34945503.719999999</v>
      </c>
      <c r="L253" s="43">
        <v>2287</v>
      </c>
    </row>
    <row r="254" spans="1:12" s="40" customFormat="1" ht="13" x14ac:dyDescent="0.3">
      <c r="A254" s="16">
        <v>3962</v>
      </c>
      <c r="B254" s="17">
        <v>55</v>
      </c>
      <c r="C254" s="17">
        <v>11</v>
      </c>
      <c r="D254" s="17">
        <v>1</v>
      </c>
      <c r="E254" s="18" t="s">
        <v>264</v>
      </c>
      <c r="F254" s="39">
        <v>44620173.560000002</v>
      </c>
      <c r="G254" s="39">
        <v>2429040.42</v>
      </c>
      <c r="H254" s="39">
        <v>5839465.1600000001</v>
      </c>
      <c r="I254" s="39">
        <v>52888679.140000001</v>
      </c>
      <c r="J254" s="39">
        <v>4300625.2</v>
      </c>
      <c r="K254" s="39">
        <v>57189304.340000004</v>
      </c>
      <c r="L254" s="43">
        <v>3672</v>
      </c>
    </row>
    <row r="255" spans="1:12" s="40" customFormat="1" ht="13" x14ac:dyDescent="0.3">
      <c r="A255" s="16">
        <v>3969</v>
      </c>
      <c r="B255" s="17">
        <v>38</v>
      </c>
      <c r="C255" s="17">
        <v>8</v>
      </c>
      <c r="D255" s="17">
        <v>1</v>
      </c>
      <c r="E255" s="18" t="s">
        <v>265</v>
      </c>
      <c r="F255" s="39">
        <v>5642804.9900000002</v>
      </c>
      <c r="G255" s="39">
        <v>142640.70000000001</v>
      </c>
      <c r="H255" s="39">
        <v>418508.58</v>
      </c>
      <c r="I255" s="39">
        <v>6203954.2699999996</v>
      </c>
      <c r="J255" s="39">
        <v>333871.28999999998</v>
      </c>
      <c r="K255" s="39">
        <v>6537825.5599999996</v>
      </c>
      <c r="L255" s="43">
        <v>355</v>
      </c>
    </row>
    <row r="256" spans="1:12" s="40" customFormat="1" ht="13" x14ac:dyDescent="0.3">
      <c r="A256" s="16">
        <v>2177</v>
      </c>
      <c r="B256" s="17">
        <v>40</v>
      </c>
      <c r="C256" s="17">
        <v>1</v>
      </c>
      <c r="D256" s="17">
        <v>2</v>
      </c>
      <c r="E256" s="18" t="s">
        <v>266</v>
      </c>
      <c r="F256" s="39">
        <v>21415752.309999999</v>
      </c>
      <c r="G256" s="39">
        <v>935567.27</v>
      </c>
      <c r="H256" s="39">
        <v>7379870.54</v>
      </c>
      <c r="I256" s="39">
        <v>29731190.120000001</v>
      </c>
      <c r="J256" s="39">
        <v>1686085.71</v>
      </c>
      <c r="K256" s="39">
        <v>31417275.829999998</v>
      </c>
      <c r="L256" s="43">
        <v>1087</v>
      </c>
    </row>
    <row r="257" spans="1:12" s="40" customFormat="1" ht="13" x14ac:dyDescent="0.3">
      <c r="A257" s="16">
        <v>4690</v>
      </c>
      <c r="B257" s="17">
        <v>51</v>
      </c>
      <c r="C257" s="17">
        <v>2</v>
      </c>
      <c r="D257" s="17">
        <v>3</v>
      </c>
      <c r="E257" s="18" t="s">
        <v>267</v>
      </c>
      <c r="F257" s="39">
        <v>2856081.33</v>
      </c>
      <c r="G257" s="39">
        <v>106911.52</v>
      </c>
      <c r="H257" s="39">
        <v>16834.25</v>
      </c>
      <c r="I257" s="39">
        <v>2979827.1</v>
      </c>
      <c r="J257" s="39">
        <v>18942.25</v>
      </c>
      <c r="K257" s="39">
        <v>2998769.35</v>
      </c>
      <c r="L257" s="43">
        <v>200</v>
      </c>
    </row>
    <row r="258" spans="1:12" s="40" customFormat="1" ht="13" x14ac:dyDescent="0.3">
      <c r="A258" s="16">
        <v>2016</v>
      </c>
      <c r="B258" s="17">
        <v>12</v>
      </c>
      <c r="C258" s="17">
        <v>3</v>
      </c>
      <c r="D258" s="17">
        <v>1</v>
      </c>
      <c r="E258" s="18" t="s">
        <v>268</v>
      </c>
      <c r="F258" s="39">
        <v>7678799.3300000001</v>
      </c>
      <c r="G258" s="39">
        <v>290892.87</v>
      </c>
      <c r="H258" s="39">
        <v>545596.73</v>
      </c>
      <c r="I258" s="39">
        <v>8515288.9299999997</v>
      </c>
      <c r="J258" s="39">
        <v>838675.67</v>
      </c>
      <c r="K258" s="39">
        <v>9353964.5999999996</v>
      </c>
      <c r="L258" s="43">
        <v>447</v>
      </c>
    </row>
    <row r="259" spans="1:12" s="40" customFormat="1" ht="13" x14ac:dyDescent="0.3">
      <c r="A259" s="16">
        <v>3983</v>
      </c>
      <c r="B259" s="17">
        <v>20</v>
      </c>
      <c r="C259" s="17">
        <v>6</v>
      </c>
      <c r="D259" s="17">
        <v>1</v>
      </c>
      <c r="E259" s="18" t="s">
        <v>269</v>
      </c>
      <c r="F259" s="39">
        <v>20530063.539999999</v>
      </c>
      <c r="G259" s="39">
        <v>546107.05000000005</v>
      </c>
      <c r="H259" s="39">
        <v>3361527.41</v>
      </c>
      <c r="I259" s="39">
        <v>24437698</v>
      </c>
      <c r="J259" s="39">
        <v>1210206.06</v>
      </c>
      <c r="K259" s="39">
        <v>25647904.059999999</v>
      </c>
      <c r="L259" s="43">
        <v>1391</v>
      </c>
    </row>
    <row r="260" spans="1:12" s="40" customFormat="1" ht="13" x14ac:dyDescent="0.3">
      <c r="A260" s="16">
        <v>3514</v>
      </c>
      <c r="B260" s="17">
        <v>67</v>
      </c>
      <c r="C260" s="17">
        <v>1</v>
      </c>
      <c r="D260" s="17">
        <v>3</v>
      </c>
      <c r="E260" s="18" t="s">
        <v>270</v>
      </c>
      <c r="F260" s="39">
        <v>3336146.07</v>
      </c>
      <c r="G260" s="39">
        <v>179867.96</v>
      </c>
      <c r="H260" s="39">
        <v>493486.11</v>
      </c>
      <c r="I260" s="39">
        <v>4009500.14</v>
      </c>
      <c r="J260" s="39">
        <v>186450.57</v>
      </c>
      <c r="K260" s="39">
        <v>4195950.71</v>
      </c>
      <c r="L260" s="43">
        <v>265</v>
      </c>
    </row>
    <row r="261" spans="1:12" s="40" customFormat="1" ht="13" x14ac:dyDescent="0.3">
      <c r="A261" s="16">
        <v>616</v>
      </c>
      <c r="B261" s="17">
        <v>63</v>
      </c>
      <c r="C261" s="17">
        <v>9</v>
      </c>
      <c r="D261" s="17">
        <v>3</v>
      </c>
      <c r="E261" s="18" t="s">
        <v>271</v>
      </c>
      <c r="F261" s="39">
        <v>3610564.29</v>
      </c>
      <c r="G261" s="39">
        <v>277654.24</v>
      </c>
      <c r="H261" s="39">
        <v>201522.92</v>
      </c>
      <c r="I261" s="39">
        <v>4089741.45</v>
      </c>
      <c r="J261" s="39">
        <v>326264.88</v>
      </c>
      <c r="K261" s="39">
        <v>4416006.33</v>
      </c>
      <c r="L261" s="43">
        <v>130</v>
      </c>
    </row>
    <row r="262" spans="1:12" s="40" customFormat="1" ht="13" x14ac:dyDescent="0.3">
      <c r="A262" s="16">
        <v>1945</v>
      </c>
      <c r="B262" s="17">
        <v>45</v>
      </c>
      <c r="C262" s="17">
        <v>1</v>
      </c>
      <c r="D262" s="17">
        <v>1</v>
      </c>
      <c r="E262" s="18" t="s">
        <v>272</v>
      </c>
      <c r="F262" s="39">
        <v>10759112.970000001</v>
      </c>
      <c r="G262" s="39">
        <v>493282.72</v>
      </c>
      <c r="H262" s="39">
        <v>1101276.21</v>
      </c>
      <c r="I262" s="39">
        <v>12353671.9</v>
      </c>
      <c r="J262" s="39">
        <v>496916.11</v>
      </c>
      <c r="K262" s="39">
        <v>12850588.01</v>
      </c>
      <c r="L262" s="43">
        <v>781</v>
      </c>
    </row>
    <row r="263" spans="1:12" s="40" customFormat="1" ht="13" x14ac:dyDescent="0.3">
      <c r="A263" s="16">
        <v>1526</v>
      </c>
      <c r="B263" s="17">
        <v>63</v>
      </c>
      <c r="C263" s="17">
        <v>9</v>
      </c>
      <c r="D263" s="17">
        <v>1</v>
      </c>
      <c r="E263" s="18" t="s">
        <v>273</v>
      </c>
      <c r="F263" s="39">
        <v>22635943.100000001</v>
      </c>
      <c r="G263" s="39">
        <v>1614077.99</v>
      </c>
      <c r="H263" s="39">
        <v>2628780.71</v>
      </c>
      <c r="I263" s="39">
        <v>26878801.800000001</v>
      </c>
      <c r="J263" s="39">
        <v>1156100.58</v>
      </c>
      <c r="K263" s="39">
        <v>28034902.379999999</v>
      </c>
      <c r="L263" s="43">
        <v>1304</v>
      </c>
    </row>
    <row r="264" spans="1:12" s="40" customFormat="1" ht="13" x14ac:dyDescent="0.3">
      <c r="A264" s="16">
        <v>3654</v>
      </c>
      <c r="B264" s="17">
        <v>65</v>
      </c>
      <c r="C264" s="17">
        <v>12</v>
      </c>
      <c r="D264" s="17">
        <v>1</v>
      </c>
      <c r="E264" s="18" t="s">
        <v>274</v>
      </c>
      <c r="F264" s="39">
        <v>4947927.49</v>
      </c>
      <c r="G264" s="39">
        <v>294100.42</v>
      </c>
      <c r="H264" s="39">
        <v>373181.24</v>
      </c>
      <c r="I264" s="39">
        <v>5615209.1500000004</v>
      </c>
      <c r="J264" s="39">
        <v>757996.83</v>
      </c>
      <c r="K264" s="39">
        <v>6373205.9800000004</v>
      </c>
      <c r="L264" s="43">
        <v>324</v>
      </c>
    </row>
    <row r="265" spans="1:12" s="40" customFormat="1" ht="13" x14ac:dyDescent="0.3">
      <c r="A265" s="16">
        <v>3990</v>
      </c>
      <c r="B265" s="17">
        <v>41</v>
      </c>
      <c r="C265" s="17">
        <v>4</v>
      </c>
      <c r="D265" s="17">
        <v>1</v>
      </c>
      <c r="E265" s="18" t="s">
        <v>275</v>
      </c>
      <c r="F265" s="39">
        <v>8856563.8499999996</v>
      </c>
      <c r="G265" s="39">
        <v>769871.53</v>
      </c>
      <c r="H265" s="39">
        <v>4055728.11</v>
      </c>
      <c r="I265" s="39">
        <v>13682163.49</v>
      </c>
      <c r="J265" s="39">
        <v>704879.61</v>
      </c>
      <c r="K265" s="39">
        <v>14387043.1</v>
      </c>
      <c r="L265" s="43">
        <v>606</v>
      </c>
    </row>
    <row r="266" spans="1:12" s="40" customFormat="1" ht="13" x14ac:dyDescent="0.3">
      <c r="A266" s="16">
        <v>4011</v>
      </c>
      <c r="B266" s="17">
        <v>51</v>
      </c>
      <c r="C266" s="17">
        <v>2</v>
      </c>
      <c r="D266" s="17">
        <v>3</v>
      </c>
      <c r="E266" s="18" t="s">
        <v>276</v>
      </c>
      <c r="F266" s="39">
        <v>1269370.33</v>
      </c>
      <c r="G266" s="39">
        <v>56742.97</v>
      </c>
      <c r="H266" s="39">
        <v>0</v>
      </c>
      <c r="I266" s="39">
        <v>1326113.3</v>
      </c>
      <c r="J266" s="39">
        <v>0</v>
      </c>
      <c r="K266" s="39">
        <v>1326113.3</v>
      </c>
      <c r="L266" s="43">
        <v>74</v>
      </c>
    </row>
    <row r="267" spans="1:12" s="40" customFormat="1" ht="13" x14ac:dyDescent="0.3">
      <c r="A267" s="16">
        <v>4018</v>
      </c>
      <c r="B267" s="17">
        <v>40</v>
      </c>
      <c r="C267" s="17">
        <v>1</v>
      </c>
      <c r="D267" s="17">
        <v>1</v>
      </c>
      <c r="E267" s="18" t="s">
        <v>277</v>
      </c>
      <c r="F267" s="39">
        <v>75919634.409999996</v>
      </c>
      <c r="G267" s="39">
        <v>4317556.22</v>
      </c>
      <c r="H267" s="39">
        <v>18084434.219999999</v>
      </c>
      <c r="I267" s="39">
        <v>98321624.849999994</v>
      </c>
      <c r="J267" s="39">
        <v>5046781.92</v>
      </c>
      <c r="K267" s="39">
        <v>103368406.77</v>
      </c>
      <c r="L267" s="43">
        <v>6356</v>
      </c>
    </row>
    <row r="268" spans="1:12" s="40" customFormat="1" ht="13" x14ac:dyDescent="0.3">
      <c r="A268" s="16">
        <v>4025</v>
      </c>
      <c r="B268" s="17">
        <v>20</v>
      </c>
      <c r="C268" s="17">
        <v>6</v>
      </c>
      <c r="D268" s="17">
        <v>1</v>
      </c>
      <c r="E268" s="18" t="s">
        <v>278</v>
      </c>
      <c r="F268" s="39">
        <v>7740221.5899999999</v>
      </c>
      <c r="G268" s="39">
        <v>323472.15000000002</v>
      </c>
      <c r="H268" s="39">
        <v>1152208.1100000001</v>
      </c>
      <c r="I268" s="39">
        <v>9215901.8499999996</v>
      </c>
      <c r="J268" s="39">
        <v>771242.68</v>
      </c>
      <c r="K268" s="39">
        <v>9987144.5299999993</v>
      </c>
      <c r="L268" s="43">
        <v>475</v>
      </c>
    </row>
    <row r="269" spans="1:12" s="40" customFormat="1" ht="13" x14ac:dyDescent="0.3">
      <c r="A269" s="16">
        <v>4060</v>
      </c>
      <c r="B269" s="17">
        <v>67</v>
      </c>
      <c r="C269" s="17">
        <v>1</v>
      </c>
      <c r="D269" s="17">
        <v>1</v>
      </c>
      <c r="E269" s="18" t="s">
        <v>279</v>
      </c>
      <c r="F269" s="39">
        <v>72632762.260000005</v>
      </c>
      <c r="G269" s="39">
        <v>2637966.7799999998</v>
      </c>
      <c r="H269" s="39">
        <v>16857631.809999999</v>
      </c>
      <c r="I269" s="39">
        <v>92128360.849999994</v>
      </c>
      <c r="J269" s="39">
        <v>3702309.81</v>
      </c>
      <c r="K269" s="39">
        <v>95830670.659999996</v>
      </c>
      <c r="L269" s="43">
        <v>5439</v>
      </c>
    </row>
    <row r="270" spans="1:12" s="40" customFormat="1" ht="13" x14ac:dyDescent="0.3">
      <c r="A270" s="16">
        <v>4067</v>
      </c>
      <c r="B270" s="17">
        <v>42</v>
      </c>
      <c r="C270" s="17">
        <v>8</v>
      </c>
      <c r="D270" s="17">
        <v>1</v>
      </c>
      <c r="E270" s="18" t="s">
        <v>280</v>
      </c>
      <c r="F270" s="39">
        <v>14093366.1</v>
      </c>
      <c r="G270" s="39">
        <v>652579.99</v>
      </c>
      <c r="H270" s="39">
        <v>3566350.68</v>
      </c>
      <c r="I270" s="39">
        <v>18312296.77</v>
      </c>
      <c r="J270" s="39">
        <v>747223.64</v>
      </c>
      <c r="K270" s="39">
        <v>19059520.41</v>
      </c>
      <c r="L270" s="43">
        <v>1036</v>
      </c>
    </row>
    <row r="271" spans="1:12" s="40" customFormat="1" ht="13" x14ac:dyDescent="0.3">
      <c r="A271" s="16">
        <v>4074</v>
      </c>
      <c r="B271" s="17">
        <v>42</v>
      </c>
      <c r="C271" s="17">
        <v>8</v>
      </c>
      <c r="D271" s="17">
        <v>1</v>
      </c>
      <c r="E271" s="18" t="s">
        <v>281</v>
      </c>
      <c r="F271" s="39">
        <v>26589975.510000002</v>
      </c>
      <c r="G271" s="39">
        <v>1315924.17</v>
      </c>
      <c r="H271" s="39">
        <v>2948973.53</v>
      </c>
      <c r="I271" s="39">
        <v>30854873.210000001</v>
      </c>
      <c r="J271" s="39">
        <v>1278154.43</v>
      </c>
      <c r="K271" s="39">
        <v>32133027.640000001</v>
      </c>
      <c r="L271" s="43">
        <v>1814</v>
      </c>
    </row>
    <row r="272" spans="1:12" s="40" customFormat="1" ht="13" x14ac:dyDescent="0.3">
      <c r="A272" s="16">
        <v>4088</v>
      </c>
      <c r="B272" s="17">
        <v>70</v>
      </c>
      <c r="C272" s="17">
        <v>6</v>
      </c>
      <c r="D272" s="17">
        <v>1</v>
      </c>
      <c r="E272" s="18" t="s">
        <v>282</v>
      </c>
      <c r="F272" s="39">
        <v>17456605.600000001</v>
      </c>
      <c r="G272" s="39">
        <v>1076229.58</v>
      </c>
      <c r="H272" s="39">
        <v>556778.76</v>
      </c>
      <c r="I272" s="39">
        <v>19089613.940000001</v>
      </c>
      <c r="J272" s="39">
        <v>1105239.76</v>
      </c>
      <c r="K272" s="39">
        <v>20194853.699999999</v>
      </c>
      <c r="L272" s="43">
        <v>1267</v>
      </c>
    </row>
    <row r="273" spans="1:12" s="40" customFormat="1" ht="13" x14ac:dyDescent="0.3">
      <c r="A273" s="16">
        <v>4095</v>
      </c>
      <c r="B273" s="17">
        <v>32</v>
      </c>
      <c r="C273" s="17">
        <v>4</v>
      </c>
      <c r="D273" s="17">
        <v>1</v>
      </c>
      <c r="E273" s="18" t="s">
        <v>283</v>
      </c>
      <c r="F273" s="39">
        <v>39417602.880000003</v>
      </c>
      <c r="G273" s="39">
        <v>1888824.33</v>
      </c>
      <c r="H273" s="39">
        <v>6349975.8200000003</v>
      </c>
      <c r="I273" s="39">
        <v>47656403.030000001</v>
      </c>
      <c r="J273" s="39">
        <v>1737157.89</v>
      </c>
      <c r="K273" s="39">
        <v>49393560.920000002</v>
      </c>
      <c r="L273" s="43">
        <v>2775</v>
      </c>
    </row>
    <row r="274" spans="1:12" s="40" customFormat="1" ht="13" x14ac:dyDescent="0.3">
      <c r="A274" s="16">
        <v>4137</v>
      </c>
      <c r="B274" s="17">
        <v>59</v>
      </c>
      <c r="C274" s="17">
        <v>7</v>
      </c>
      <c r="D274" s="17">
        <v>1</v>
      </c>
      <c r="E274" s="18" t="s">
        <v>284</v>
      </c>
      <c r="F274" s="39">
        <v>12592025.73</v>
      </c>
      <c r="G274" s="39">
        <v>585633.68999999994</v>
      </c>
      <c r="H274" s="39">
        <v>1374532.9</v>
      </c>
      <c r="I274" s="39">
        <v>14552192.32</v>
      </c>
      <c r="J274" s="39">
        <v>723003.13</v>
      </c>
      <c r="K274" s="39">
        <v>15275195.449999999</v>
      </c>
      <c r="L274" s="43">
        <v>999</v>
      </c>
    </row>
    <row r="275" spans="1:12" s="40" customFormat="1" ht="13" x14ac:dyDescent="0.3">
      <c r="A275" s="16">
        <v>4144</v>
      </c>
      <c r="B275" s="17">
        <v>13</v>
      </c>
      <c r="C275" s="17">
        <v>2</v>
      </c>
      <c r="D275" s="17">
        <v>1</v>
      </c>
      <c r="E275" s="18" t="s">
        <v>285</v>
      </c>
      <c r="F275" s="39">
        <v>59227583.359999999</v>
      </c>
      <c r="G275" s="39">
        <v>3079148.14</v>
      </c>
      <c r="H275" s="39">
        <v>7916666.5999999996</v>
      </c>
      <c r="I275" s="39">
        <v>70223398.099999994</v>
      </c>
      <c r="J275" s="39">
        <v>3397338.95</v>
      </c>
      <c r="K275" s="39">
        <v>73620737.049999997</v>
      </c>
      <c r="L275" s="43">
        <v>3916</v>
      </c>
    </row>
    <row r="276" spans="1:12" s="40" customFormat="1" ht="13" x14ac:dyDescent="0.3">
      <c r="A276" s="16">
        <v>4165</v>
      </c>
      <c r="B276" s="17">
        <v>48</v>
      </c>
      <c r="C276" s="17">
        <v>11</v>
      </c>
      <c r="D276" s="17">
        <v>1</v>
      </c>
      <c r="E276" s="18" t="s">
        <v>286</v>
      </c>
      <c r="F276" s="39">
        <v>21778106.66</v>
      </c>
      <c r="G276" s="39">
        <v>1000558.18</v>
      </c>
      <c r="H276" s="39">
        <v>2056428.5</v>
      </c>
      <c r="I276" s="39">
        <v>24835093.34</v>
      </c>
      <c r="J276" s="39">
        <v>1791214.61</v>
      </c>
      <c r="K276" s="39">
        <v>26626307.949999999</v>
      </c>
      <c r="L276" s="43">
        <v>1515</v>
      </c>
    </row>
    <row r="277" spans="1:12" s="40" customFormat="1" ht="13" x14ac:dyDescent="0.3">
      <c r="A277" s="16">
        <v>4179</v>
      </c>
      <c r="B277" s="17">
        <v>70</v>
      </c>
      <c r="C277" s="17">
        <v>6</v>
      </c>
      <c r="D277" s="17">
        <v>1</v>
      </c>
      <c r="E277" s="18" t="s">
        <v>287</v>
      </c>
      <c r="F277" s="39">
        <v>147072788.56</v>
      </c>
      <c r="G277" s="39">
        <v>4228086.5199999996</v>
      </c>
      <c r="H277" s="39">
        <v>25038017.25</v>
      </c>
      <c r="I277" s="39">
        <v>176338892.33000001</v>
      </c>
      <c r="J277" s="39">
        <v>8929664.5999999996</v>
      </c>
      <c r="K277" s="39">
        <v>185268556.93000001</v>
      </c>
      <c r="L277" s="43">
        <v>9974</v>
      </c>
    </row>
    <row r="278" spans="1:12" s="40" customFormat="1" ht="13" x14ac:dyDescent="0.3">
      <c r="A278" s="16">
        <v>4186</v>
      </c>
      <c r="B278" s="17">
        <v>61</v>
      </c>
      <c r="C278" s="17">
        <v>10</v>
      </c>
      <c r="D278" s="17">
        <v>1</v>
      </c>
      <c r="E278" s="18" t="s">
        <v>288</v>
      </c>
      <c r="F278" s="39">
        <v>13742098.119999999</v>
      </c>
      <c r="G278" s="39">
        <v>869919.19</v>
      </c>
      <c r="H278" s="39">
        <v>1286366.25</v>
      </c>
      <c r="I278" s="39">
        <v>15898383.560000001</v>
      </c>
      <c r="J278" s="39">
        <v>765804.75</v>
      </c>
      <c r="K278" s="39">
        <v>16664188.310000001</v>
      </c>
      <c r="L278" s="43">
        <v>857</v>
      </c>
    </row>
    <row r="279" spans="1:12" s="40" customFormat="1" ht="13" x14ac:dyDescent="0.3">
      <c r="A279" s="16">
        <v>4207</v>
      </c>
      <c r="B279" s="17">
        <v>10</v>
      </c>
      <c r="C279" s="17">
        <v>10</v>
      </c>
      <c r="D279" s="17">
        <v>1</v>
      </c>
      <c r="E279" s="18" t="s">
        <v>289</v>
      </c>
      <c r="F279" s="39">
        <v>6878197.8399999999</v>
      </c>
      <c r="G279" s="39">
        <v>536954.14</v>
      </c>
      <c r="H279" s="39">
        <v>1065376.8899999999</v>
      </c>
      <c r="I279" s="39">
        <v>8480528.8699999992</v>
      </c>
      <c r="J279" s="39">
        <v>424571.43</v>
      </c>
      <c r="K279" s="39">
        <v>8905100.3000000007</v>
      </c>
      <c r="L279" s="43">
        <v>460</v>
      </c>
    </row>
    <row r="280" spans="1:12" s="40" customFormat="1" ht="13" x14ac:dyDescent="0.3">
      <c r="A280" s="16">
        <v>4221</v>
      </c>
      <c r="B280" s="17">
        <v>28</v>
      </c>
      <c r="C280" s="17">
        <v>2</v>
      </c>
      <c r="D280" s="17">
        <v>1</v>
      </c>
      <c r="E280" s="18" t="s">
        <v>290</v>
      </c>
      <c r="F280" s="39">
        <v>13308276</v>
      </c>
      <c r="G280" s="39">
        <v>576817.81999999995</v>
      </c>
      <c r="H280" s="39">
        <v>1535621.47</v>
      </c>
      <c r="I280" s="39">
        <v>15420715.289999999</v>
      </c>
      <c r="J280" s="39">
        <v>689483.48</v>
      </c>
      <c r="K280" s="39">
        <v>16110198.77</v>
      </c>
      <c r="L280" s="43">
        <v>912</v>
      </c>
    </row>
    <row r="281" spans="1:12" s="40" customFormat="1" ht="13" x14ac:dyDescent="0.3">
      <c r="A281" s="16">
        <v>4228</v>
      </c>
      <c r="B281" s="17">
        <v>11</v>
      </c>
      <c r="C281" s="17">
        <v>5</v>
      </c>
      <c r="D281" s="17">
        <v>1</v>
      </c>
      <c r="E281" s="18" t="s">
        <v>291</v>
      </c>
      <c r="F281" s="39">
        <v>12202772.529999999</v>
      </c>
      <c r="G281" s="39">
        <v>664481.89</v>
      </c>
      <c r="H281" s="39">
        <v>812759.43</v>
      </c>
      <c r="I281" s="39">
        <v>13680013.85</v>
      </c>
      <c r="J281" s="39">
        <v>600440.46</v>
      </c>
      <c r="K281" s="39">
        <v>14280454.310000001</v>
      </c>
      <c r="L281" s="43">
        <v>876</v>
      </c>
    </row>
    <row r="282" spans="1:12" s="40" customFormat="1" ht="13" x14ac:dyDescent="0.3">
      <c r="A282" s="16">
        <v>4235</v>
      </c>
      <c r="B282" s="17">
        <v>30</v>
      </c>
      <c r="C282" s="17">
        <v>2</v>
      </c>
      <c r="D282" s="17">
        <v>3</v>
      </c>
      <c r="E282" s="18" t="s">
        <v>292</v>
      </c>
      <c r="F282" s="39">
        <v>2537631.8199999998</v>
      </c>
      <c r="G282" s="39">
        <v>140512.07999999999</v>
      </c>
      <c r="H282" s="39">
        <v>88989.53</v>
      </c>
      <c r="I282" s="39">
        <v>2767133.43</v>
      </c>
      <c r="J282" s="39">
        <v>105556.24</v>
      </c>
      <c r="K282" s="39">
        <v>2872689.67</v>
      </c>
      <c r="L282" s="43">
        <v>153</v>
      </c>
    </row>
    <row r="283" spans="1:12" s="40" customFormat="1" ht="13" x14ac:dyDescent="0.3">
      <c r="A283" s="16">
        <v>4151</v>
      </c>
      <c r="B283" s="17">
        <v>53</v>
      </c>
      <c r="C283" s="17">
        <v>2</v>
      </c>
      <c r="D283" s="17">
        <v>1</v>
      </c>
      <c r="E283" s="18" t="s">
        <v>293</v>
      </c>
      <c r="F283" s="39">
        <v>11875162.390000001</v>
      </c>
      <c r="G283" s="39">
        <v>608088.36</v>
      </c>
      <c r="H283" s="39">
        <v>1280908.8</v>
      </c>
      <c r="I283" s="39">
        <v>13764159.550000001</v>
      </c>
      <c r="J283" s="39">
        <v>573428.15</v>
      </c>
      <c r="K283" s="39">
        <v>14337587.699999999</v>
      </c>
      <c r="L283" s="43">
        <v>913</v>
      </c>
    </row>
    <row r="284" spans="1:12" s="40" customFormat="1" ht="13" x14ac:dyDescent="0.3">
      <c r="A284" s="16">
        <v>490</v>
      </c>
      <c r="B284" s="17">
        <v>33</v>
      </c>
      <c r="C284" s="17">
        <v>3</v>
      </c>
      <c r="D284" s="17">
        <v>1</v>
      </c>
      <c r="E284" s="18" t="s">
        <v>294</v>
      </c>
      <c r="F284" s="39">
        <v>6971245.6299999999</v>
      </c>
      <c r="G284" s="39">
        <v>341630.62</v>
      </c>
      <c r="H284" s="39">
        <v>334888.11</v>
      </c>
      <c r="I284" s="39">
        <v>7647764.3600000003</v>
      </c>
      <c r="J284" s="39">
        <v>388322.13</v>
      </c>
      <c r="K284" s="39">
        <v>8036086.4900000002</v>
      </c>
      <c r="L284" s="43">
        <v>443</v>
      </c>
    </row>
    <row r="285" spans="1:12" s="40" customFormat="1" ht="13" x14ac:dyDescent="0.3">
      <c r="A285" s="16">
        <v>4270</v>
      </c>
      <c r="B285" s="17">
        <v>46</v>
      </c>
      <c r="C285" s="17">
        <v>11</v>
      </c>
      <c r="D285" s="17">
        <v>1</v>
      </c>
      <c r="E285" s="18" t="s">
        <v>295</v>
      </c>
      <c r="F285" s="39">
        <v>5775121.46</v>
      </c>
      <c r="G285" s="39">
        <v>358362.48</v>
      </c>
      <c r="H285" s="39">
        <v>124859.85</v>
      </c>
      <c r="I285" s="39">
        <v>6258343.79</v>
      </c>
      <c r="J285" s="39">
        <v>395320.04</v>
      </c>
      <c r="K285" s="39">
        <v>6653663.8300000001</v>
      </c>
      <c r="L285" s="43">
        <v>255</v>
      </c>
    </row>
    <row r="286" spans="1:12" s="40" customFormat="1" ht="13" x14ac:dyDescent="0.3">
      <c r="A286" s="16">
        <v>4305</v>
      </c>
      <c r="B286" s="17">
        <v>38</v>
      </c>
      <c r="C286" s="17">
        <v>8</v>
      </c>
      <c r="D286" s="17">
        <v>1</v>
      </c>
      <c r="E286" s="18" t="s">
        <v>296</v>
      </c>
      <c r="F286" s="39">
        <v>13400114.050000001</v>
      </c>
      <c r="G286" s="39">
        <v>614361.04</v>
      </c>
      <c r="H286" s="39">
        <v>1656487.6</v>
      </c>
      <c r="I286" s="39">
        <v>15670962.689999999</v>
      </c>
      <c r="J286" s="39">
        <v>636266.19999999995</v>
      </c>
      <c r="K286" s="39">
        <v>16307228.890000001</v>
      </c>
      <c r="L286" s="43">
        <v>955</v>
      </c>
    </row>
    <row r="287" spans="1:12" s="40" customFormat="1" ht="13" x14ac:dyDescent="0.3">
      <c r="A287" s="16">
        <v>4312</v>
      </c>
      <c r="B287" s="17">
        <v>67</v>
      </c>
      <c r="C287" s="17">
        <v>1</v>
      </c>
      <c r="D287" s="17">
        <v>1</v>
      </c>
      <c r="E287" s="18" t="s">
        <v>297</v>
      </c>
      <c r="F287" s="39">
        <v>36989460.609999999</v>
      </c>
      <c r="G287" s="39">
        <v>1473380.39</v>
      </c>
      <c r="H287" s="39">
        <v>15122630.58</v>
      </c>
      <c r="I287" s="39">
        <v>53585471.579999998</v>
      </c>
      <c r="J287" s="39">
        <v>1482683.31</v>
      </c>
      <c r="K287" s="39">
        <v>55068154.890000001</v>
      </c>
      <c r="L287" s="43">
        <v>2769</v>
      </c>
    </row>
    <row r="288" spans="1:12" s="40" customFormat="1" ht="13" x14ac:dyDescent="0.3">
      <c r="A288" s="16">
        <v>4330</v>
      </c>
      <c r="B288" s="17">
        <v>63</v>
      </c>
      <c r="C288" s="17">
        <v>9</v>
      </c>
      <c r="D288" s="17">
        <v>1</v>
      </c>
      <c r="E288" s="18" t="s">
        <v>298</v>
      </c>
      <c r="F288" s="39">
        <v>2884756.55</v>
      </c>
      <c r="G288" s="39">
        <v>147512.79</v>
      </c>
      <c r="H288" s="39">
        <v>5616.91</v>
      </c>
      <c r="I288" s="39">
        <v>3037886.25</v>
      </c>
      <c r="J288" s="39">
        <v>377873.85</v>
      </c>
      <c r="K288" s="39">
        <v>3415760.1</v>
      </c>
      <c r="L288" s="43">
        <v>103</v>
      </c>
    </row>
    <row r="289" spans="1:12" s="40" customFormat="1" ht="13" x14ac:dyDescent="0.3">
      <c r="A289" s="16">
        <v>4347</v>
      </c>
      <c r="B289" s="17">
        <v>50</v>
      </c>
      <c r="C289" s="17">
        <v>12</v>
      </c>
      <c r="D289" s="17">
        <v>1</v>
      </c>
      <c r="E289" s="18" t="s">
        <v>299</v>
      </c>
      <c r="F289" s="39">
        <v>10607234.9</v>
      </c>
      <c r="G289" s="39">
        <v>741165.15</v>
      </c>
      <c r="H289" s="39">
        <v>1498497.75</v>
      </c>
      <c r="I289" s="39">
        <v>12846897.800000001</v>
      </c>
      <c r="J289" s="39">
        <v>964268.86</v>
      </c>
      <c r="K289" s="39">
        <v>13811166.66</v>
      </c>
      <c r="L289" s="43">
        <v>710</v>
      </c>
    </row>
    <row r="290" spans="1:12" s="40" customFormat="1" ht="13" x14ac:dyDescent="0.3">
      <c r="A290" s="16">
        <v>4368</v>
      </c>
      <c r="B290" s="17">
        <v>71</v>
      </c>
      <c r="C290" s="17">
        <v>5</v>
      </c>
      <c r="D290" s="17">
        <v>1</v>
      </c>
      <c r="E290" s="18" t="s">
        <v>300</v>
      </c>
      <c r="F290" s="39">
        <v>8194241.3399999999</v>
      </c>
      <c r="G290" s="39">
        <v>645027.16</v>
      </c>
      <c r="H290" s="39">
        <v>680114.21</v>
      </c>
      <c r="I290" s="39">
        <v>9519382.7100000009</v>
      </c>
      <c r="J290" s="39">
        <v>1179058.43</v>
      </c>
      <c r="K290" s="39">
        <v>10698441.140000001</v>
      </c>
      <c r="L290" s="43">
        <v>524</v>
      </c>
    </row>
    <row r="291" spans="1:12" s="40" customFormat="1" ht="13" x14ac:dyDescent="0.3">
      <c r="A291" s="16">
        <v>4389</v>
      </c>
      <c r="B291" s="17">
        <v>22</v>
      </c>
      <c r="C291" s="17">
        <v>3</v>
      </c>
      <c r="D291" s="17">
        <v>1</v>
      </c>
      <c r="E291" s="18" t="s">
        <v>301</v>
      </c>
      <c r="F291" s="39">
        <v>21145576.859999999</v>
      </c>
      <c r="G291" s="39">
        <v>742658.15</v>
      </c>
      <c r="H291" s="39">
        <v>3855799.88</v>
      </c>
      <c r="I291" s="39">
        <v>25744034.890000001</v>
      </c>
      <c r="J291" s="39">
        <v>1159321.9099999999</v>
      </c>
      <c r="K291" s="39">
        <v>26903356.800000001</v>
      </c>
      <c r="L291" s="43">
        <v>1591</v>
      </c>
    </row>
    <row r="292" spans="1:12" s="40" customFormat="1" ht="13" x14ac:dyDescent="0.3">
      <c r="A292" s="16">
        <v>4459</v>
      </c>
      <c r="B292" s="17">
        <v>47</v>
      </c>
      <c r="C292" s="17">
        <v>11</v>
      </c>
      <c r="D292" s="17">
        <v>1</v>
      </c>
      <c r="E292" s="18" t="s">
        <v>302</v>
      </c>
      <c r="F292" s="39">
        <v>5148568.2699999996</v>
      </c>
      <c r="G292" s="39">
        <v>174226.61</v>
      </c>
      <c r="H292" s="39">
        <v>262560</v>
      </c>
      <c r="I292" s="39">
        <v>5585354.8799999999</v>
      </c>
      <c r="J292" s="39">
        <v>197340.08</v>
      </c>
      <c r="K292" s="39">
        <v>5782694.96</v>
      </c>
      <c r="L292" s="43">
        <v>239</v>
      </c>
    </row>
    <row r="293" spans="1:12" s="40" customFormat="1" ht="13" x14ac:dyDescent="0.3">
      <c r="A293" s="16">
        <v>4473</v>
      </c>
      <c r="B293" s="17">
        <v>59</v>
      </c>
      <c r="C293" s="17">
        <v>7</v>
      </c>
      <c r="D293" s="17">
        <v>1</v>
      </c>
      <c r="E293" s="18" t="s">
        <v>303</v>
      </c>
      <c r="F293" s="39">
        <v>29041933.32</v>
      </c>
      <c r="G293" s="39">
        <v>942098.51</v>
      </c>
      <c r="H293" s="39">
        <v>3011675.2</v>
      </c>
      <c r="I293" s="39">
        <v>32995707.030000001</v>
      </c>
      <c r="J293" s="39">
        <v>2190686.79</v>
      </c>
      <c r="K293" s="39">
        <v>35186393.82</v>
      </c>
      <c r="L293" s="43">
        <v>2132</v>
      </c>
    </row>
    <row r="294" spans="1:12" s="40" customFormat="1" ht="13" x14ac:dyDescent="0.3">
      <c r="A294" s="16">
        <v>4508</v>
      </c>
      <c r="B294" s="17">
        <v>71</v>
      </c>
      <c r="C294" s="17">
        <v>5</v>
      </c>
      <c r="D294" s="17">
        <v>1</v>
      </c>
      <c r="E294" s="18" t="s">
        <v>304</v>
      </c>
      <c r="F294" s="39">
        <v>6740315.1799999997</v>
      </c>
      <c r="G294" s="39">
        <v>312402.38</v>
      </c>
      <c r="H294" s="39">
        <v>0</v>
      </c>
      <c r="I294" s="39">
        <v>7052717.5599999996</v>
      </c>
      <c r="J294" s="39">
        <v>406448.89</v>
      </c>
      <c r="K294" s="39">
        <v>7459166.4500000002</v>
      </c>
      <c r="L294" s="43">
        <v>454</v>
      </c>
    </row>
    <row r="295" spans="1:12" s="40" customFormat="1" ht="13" x14ac:dyDescent="0.3">
      <c r="A295" s="16">
        <v>4515</v>
      </c>
      <c r="B295" s="17">
        <v>45</v>
      </c>
      <c r="C295" s="17">
        <v>1</v>
      </c>
      <c r="D295" s="17">
        <v>1</v>
      </c>
      <c r="E295" s="18" t="s">
        <v>305</v>
      </c>
      <c r="F295" s="39">
        <v>35945876.57</v>
      </c>
      <c r="G295" s="39">
        <v>1126751.1599999999</v>
      </c>
      <c r="H295" s="39">
        <v>3231122.5</v>
      </c>
      <c r="I295" s="39">
        <v>40303750.229999997</v>
      </c>
      <c r="J295" s="39">
        <v>1751487.34</v>
      </c>
      <c r="K295" s="39">
        <v>42055237.57</v>
      </c>
      <c r="L295" s="43">
        <v>2617</v>
      </c>
    </row>
    <row r="296" spans="1:12" s="40" customFormat="1" ht="13" x14ac:dyDescent="0.3">
      <c r="A296" s="16">
        <v>4501</v>
      </c>
      <c r="B296" s="17">
        <v>11</v>
      </c>
      <c r="C296" s="17">
        <v>5</v>
      </c>
      <c r="D296" s="17">
        <v>1</v>
      </c>
      <c r="E296" s="18" t="s">
        <v>306</v>
      </c>
      <c r="F296" s="39">
        <v>30667020.309999999</v>
      </c>
      <c r="G296" s="39">
        <v>1592663.9</v>
      </c>
      <c r="H296" s="39">
        <v>1513348.29</v>
      </c>
      <c r="I296" s="39">
        <v>33773032.5</v>
      </c>
      <c r="J296" s="39">
        <v>1129556.23</v>
      </c>
      <c r="K296" s="39">
        <v>34902588.729999997</v>
      </c>
      <c r="L296" s="43">
        <v>2106</v>
      </c>
    </row>
    <row r="297" spans="1:12" s="40" customFormat="1" ht="13" x14ac:dyDescent="0.3">
      <c r="A297" s="16">
        <v>4529</v>
      </c>
      <c r="B297" s="17">
        <v>22</v>
      </c>
      <c r="C297" s="17">
        <v>3</v>
      </c>
      <c r="D297" s="17">
        <v>1</v>
      </c>
      <c r="E297" s="18" t="s">
        <v>307</v>
      </c>
      <c r="F297" s="39">
        <v>5326925.99</v>
      </c>
      <c r="G297" s="39">
        <v>262396.21000000002</v>
      </c>
      <c r="H297" s="39">
        <v>428000.53</v>
      </c>
      <c r="I297" s="39">
        <v>6017322.7300000004</v>
      </c>
      <c r="J297" s="39">
        <v>366866.12</v>
      </c>
      <c r="K297" s="39">
        <v>6384188.8499999996</v>
      </c>
      <c r="L297" s="43">
        <v>312</v>
      </c>
    </row>
    <row r="298" spans="1:12" s="40" customFormat="1" ht="13" x14ac:dyDescent="0.3">
      <c r="A298" s="16">
        <v>4536</v>
      </c>
      <c r="B298" s="17">
        <v>11</v>
      </c>
      <c r="C298" s="17">
        <v>5</v>
      </c>
      <c r="D298" s="17">
        <v>1</v>
      </c>
      <c r="E298" s="18" t="s">
        <v>308</v>
      </c>
      <c r="F298" s="39">
        <v>14663837.82</v>
      </c>
      <c r="G298" s="39">
        <v>657797.72</v>
      </c>
      <c r="H298" s="39">
        <v>2047611.78</v>
      </c>
      <c r="I298" s="39">
        <v>17369247.32</v>
      </c>
      <c r="J298" s="39">
        <v>718167.22</v>
      </c>
      <c r="K298" s="39">
        <v>18087414.539999999</v>
      </c>
      <c r="L298" s="43">
        <v>1009</v>
      </c>
    </row>
    <row r="299" spans="1:12" s="40" customFormat="1" ht="13" x14ac:dyDescent="0.3">
      <c r="A299" s="16">
        <v>4543</v>
      </c>
      <c r="B299" s="17">
        <v>12</v>
      </c>
      <c r="C299" s="17">
        <v>3</v>
      </c>
      <c r="D299" s="17">
        <v>1</v>
      </c>
      <c r="E299" s="18" t="s">
        <v>309</v>
      </c>
      <c r="F299" s="39">
        <v>15124023.359999999</v>
      </c>
      <c r="G299" s="39">
        <v>577143.49</v>
      </c>
      <c r="H299" s="39">
        <v>2328697.19</v>
      </c>
      <c r="I299" s="39">
        <v>18029864.039999999</v>
      </c>
      <c r="J299" s="39">
        <v>871774.83</v>
      </c>
      <c r="K299" s="39">
        <v>18901638.870000001</v>
      </c>
      <c r="L299" s="43">
        <v>989</v>
      </c>
    </row>
    <row r="300" spans="1:12" s="40" customFormat="1" ht="13" x14ac:dyDescent="0.3">
      <c r="A300" s="16">
        <v>4557</v>
      </c>
      <c r="B300" s="17">
        <v>3</v>
      </c>
      <c r="C300" s="17">
        <v>11</v>
      </c>
      <c r="D300" s="17">
        <v>1</v>
      </c>
      <c r="E300" s="18" t="s">
        <v>310</v>
      </c>
      <c r="F300" s="39">
        <v>5144565.88</v>
      </c>
      <c r="G300" s="39">
        <v>181750.46</v>
      </c>
      <c r="H300" s="39">
        <v>115397.66</v>
      </c>
      <c r="I300" s="39">
        <v>5441714</v>
      </c>
      <c r="J300" s="39">
        <v>654142.36</v>
      </c>
      <c r="K300" s="39">
        <v>6095856.3600000003</v>
      </c>
      <c r="L300" s="43">
        <v>283</v>
      </c>
    </row>
    <row r="301" spans="1:12" s="40" customFormat="1" ht="13" x14ac:dyDescent="0.3">
      <c r="A301" s="16">
        <v>4571</v>
      </c>
      <c r="B301" s="17">
        <v>50</v>
      </c>
      <c r="C301" s="17">
        <v>9</v>
      </c>
      <c r="D301" s="17">
        <v>1</v>
      </c>
      <c r="E301" s="18" t="s">
        <v>311</v>
      </c>
      <c r="F301" s="39">
        <v>6189883.0700000003</v>
      </c>
      <c r="G301" s="39">
        <v>249329.97</v>
      </c>
      <c r="H301" s="39">
        <v>1251339.18</v>
      </c>
      <c r="I301" s="39">
        <v>7690552.2199999997</v>
      </c>
      <c r="J301" s="39">
        <v>217810.11</v>
      </c>
      <c r="K301" s="39">
        <v>7908362.3300000001</v>
      </c>
      <c r="L301" s="43">
        <v>388</v>
      </c>
    </row>
    <row r="302" spans="1:12" s="40" customFormat="1" ht="13" x14ac:dyDescent="0.3">
      <c r="A302" s="16">
        <v>4578</v>
      </c>
      <c r="B302" s="17">
        <v>47</v>
      </c>
      <c r="C302" s="17">
        <v>11</v>
      </c>
      <c r="D302" s="17">
        <v>1</v>
      </c>
      <c r="E302" s="18" t="s">
        <v>312</v>
      </c>
      <c r="F302" s="39">
        <v>17626835.829999998</v>
      </c>
      <c r="G302" s="39">
        <v>937303.66</v>
      </c>
      <c r="H302" s="39">
        <v>5040510.3</v>
      </c>
      <c r="I302" s="39">
        <v>23604649.789999999</v>
      </c>
      <c r="J302" s="39">
        <v>1370169.01</v>
      </c>
      <c r="K302" s="39">
        <v>24974818.800000001</v>
      </c>
      <c r="L302" s="43">
        <v>1352</v>
      </c>
    </row>
    <row r="303" spans="1:12" s="40" customFormat="1" ht="13" x14ac:dyDescent="0.3">
      <c r="A303" s="16">
        <v>4606</v>
      </c>
      <c r="B303" s="17">
        <v>24</v>
      </c>
      <c r="C303" s="17">
        <v>5</v>
      </c>
      <c r="D303" s="17">
        <v>1</v>
      </c>
      <c r="E303" s="18" t="s">
        <v>313</v>
      </c>
      <c r="F303" s="39">
        <v>5564510.3899999997</v>
      </c>
      <c r="G303" s="39">
        <v>270224.28999999998</v>
      </c>
      <c r="H303" s="39">
        <v>173604.36</v>
      </c>
      <c r="I303" s="39">
        <v>6008339.04</v>
      </c>
      <c r="J303" s="39">
        <v>304769.15000000002</v>
      </c>
      <c r="K303" s="39">
        <v>6313108.1900000004</v>
      </c>
      <c r="L303" s="43">
        <v>352</v>
      </c>
    </row>
    <row r="304" spans="1:12" s="40" customFormat="1" ht="13" x14ac:dyDescent="0.3">
      <c r="A304" s="16">
        <v>4613</v>
      </c>
      <c r="B304" s="17">
        <v>5</v>
      </c>
      <c r="C304" s="17">
        <v>7</v>
      </c>
      <c r="D304" s="17">
        <v>1</v>
      </c>
      <c r="E304" s="18" t="s">
        <v>314</v>
      </c>
      <c r="F304" s="39">
        <v>53176498.530000001</v>
      </c>
      <c r="G304" s="39">
        <v>2636135.87</v>
      </c>
      <c r="H304" s="39">
        <v>5236554.7</v>
      </c>
      <c r="I304" s="39">
        <v>61049189.100000001</v>
      </c>
      <c r="J304" s="39">
        <v>3359396.66</v>
      </c>
      <c r="K304" s="39">
        <v>64408585.759999998</v>
      </c>
      <c r="L304" s="43">
        <v>4147</v>
      </c>
    </row>
    <row r="305" spans="1:12" s="40" customFormat="1" ht="13" x14ac:dyDescent="0.3">
      <c r="A305" s="16">
        <v>4620</v>
      </c>
      <c r="B305" s="17">
        <v>51</v>
      </c>
      <c r="C305" s="17">
        <v>1</v>
      </c>
      <c r="D305" s="17">
        <v>1</v>
      </c>
      <c r="E305" s="18" t="s">
        <v>315</v>
      </c>
      <c r="F305" s="39">
        <v>319598457.56999999</v>
      </c>
      <c r="G305" s="39">
        <v>11215883.710000001</v>
      </c>
      <c r="H305" s="39">
        <v>13199698.85</v>
      </c>
      <c r="I305" s="39">
        <v>344014040.13</v>
      </c>
      <c r="J305" s="39">
        <v>18499767.100000001</v>
      </c>
      <c r="K305" s="39">
        <v>362513807.23000002</v>
      </c>
      <c r="L305" s="43">
        <v>21113</v>
      </c>
    </row>
    <row r="306" spans="1:12" s="40" customFormat="1" ht="13" x14ac:dyDescent="0.3">
      <c r="A306" s="16">
        <v>4627</v>
      </c>
      <c r="B306" s="17">
        <v>30</v>
      </c>
      <c r="C306" s="17">
        <v>2</v>
      </c>
      <c r="D306" s="17">
        <v>3</v>
      </c>
      <c r="E306" s="18" t="s">
        <v>316</v>
      </c>
      <c r="F306" s="39">
        <v>8527629.8499999996</v>
      </c>
      <c r="G306" s="39">
        <v>424821.87</v>
      </c>
      <c r="H306" s="39">
        <v>2288607.12</v>
      </c>
      <c r="I306" s="39">
        <v>11241058.84</v>
      </c>
      <c r="J306" s="39">
        <v>297768.89</v>
      </c>
      <c r="K306" s="39">
        <v>11538827.73</v>
      </c>
      <c r="L306" s="43">
        <v>559</v>
      </c>
    </row>
    <row r="307" spans="1:12" s="40" customFormat="1" ht="13" x14ac:dyDescent="0.3">
      <c r="A307" s="16">
        <v>4634</v>
      </c>
      <c r="B307" s="17">
        <v>11</v>
      </c>
      <c r="C307" s="17">
        <v>5</v>
      </c>
      <c r="D307" s="17">
        <v>1</v>
      </c>
      <c r="E307" s="18" t="s">
        <v>317</v>
      </c>
      <c r="F307" s="39">
        <v>7753526.2000000002</v>
      </c>
      <c r="G307" s="39">
        <v>482472.08</v>
      </c>
      <c r="H307" s="39">
        <v>2113191.2000000002</v>
      </c>
      <c r="I307" s="39">
        <v>10349189.48</v>
      </c>
      <c r="J307" s="39">
        <v>308107.95</v>
      </c>
      <c r="K307" s="39">
        <v>10657297.43</v>
      </c>
      <c r="L307" s="43">
        <v>488</v>
      </c>
    </row>
    <row r="308" spans="1:12" s="40" customFormat="1" ht="13" x14ac:dyDescent="0.3">
      <c r="A308" s="16">
        <v>4641</v>
      </c>
      <c r="B308" s="17">
        <v>59</v>
      </c>
      <c r="C308" s="17">
        <v>7</v>
      </c>
      <c r="D308" s="17">
        <v>1</v>
      </c>
      <c r="E308" s="18" t="s">
        <v>318</v>
      </c>
      <c r="F308" s="39">
        <v>10661685.039999999</v>
      </c>
      <c r="G308" s="39">
        <v>377538.08</v>
      </c>
      <c r="H308" s="39">
        <v>1678856.26</v>
      </c>
      <c r="I308" s="39">
        <v>12718079.380000001</v>
      </c>
      <c r="J308" s="39">
        <v>1195279.93</v>
      </c>
      <c r="K308" s="39">
        <v>13913359.310000001</v>
      </c>
      <c r="L308" s="43">
        <v>749</v>
      </c>
    </row>
    <row r="309" spans="1:12" s="40" customFormat="1" ht="13" x14ac:dyDescent="0.3">
      <c r="A309" s="16">
        <v>4686</v>
      </c>
      <c r="B309" s="17">
        <v>51</v>
      </c>
      <c r="C309" s="17">
        <v>2</v>
      </c>
      <c r="D309" s="17">
        <v>3</v>
      </c>
      <c r="E309" s="18" t="s">
        <v>319</v>
      </c>
      <c r="F309" s="39">
        <v>5545086.8499999996</v>
      </c>
      <c r="G309" s="39">
        <v>376335.28</v>
      </c>
      <c r="H309" s="39">
        <v>141602.81</v>
      </c>
      <c r="I309" s="39">
        <v>6063024.9400000004</v>
      </c>
      <c r="J309" s="39">
        <v>0</v>
      </c>
      <c r="K309" s="39">
        <v>6063024.9400000004</v>
      </c>
      <c r="L309" s="43">
        <v>320</v>
      </c>
    </row>
    <row r="310" spans="1:12" s="40" customFormat="1" ht="13" x14ac:dyDescent="0.3">
      <c r="A310" s="16">
        <v>4753</v>
      </c>
      <c r="B310" s="17">
        <v>56</v>
      </c>
      <c r="C310" s="17">
        <v>5</v>
      </c>
      <c r="D310" s="17">
        <v>1</v>
      </c>
      <c r="E310" s="18" t="s">
        <v>320</v>
      </c>
      <c r="F310" s="39">
        <v>36692392.68</v>
      </c>
      <c r="G310" s="39">
        <v>1574583.57</v>
      </c>
      <c r="H310" s="39">
        <v>5884256.3399999999</v>
      </c>
      <c r="I310" s="39">
        <v>44151232.590000004</v>
      </c>
      <c r="J310" s="39">
        <v>1792086.04</v>
      </c>
      <c r="K310" s="39">
        <v>45943318.630000003</v>
      </c>
      <c r="L310" s="43">
        <v>2679</v>
      </c>
    </row>
    <row r="311" spans="1:12" s="40" customFormat="1" ht="13" x14ac:dyDescent="0.3">
      <c r="A311" s="16">
        <v>4760</v>
      </c>
      <c r="B311" s="17">
        <v>36</v>
      </c>
      <c r="C311" s="17">
        <v>7</v>
      </c>
      <c r="D311" s="17">
        <v>1</v>
      </c>
      <c r="E311" s="18" t="s">
        <v>321</v>
      </c>
      <c r="F311" s="39">
        <v>9419540.7100000009</v>
      </c>
      <c r="G311" s="39">
        <v>608067.04</v>
      </c>
      <c r="H311" s="39">
        <v>255694.04</v>
      </c>
      <c r="I311" s="39">
        <v>10283301.789999999</v>
      </c>
      <c r="J311" s="39">
        <v>753423.74</v>
      </c>
      <c r="K311" s="39">
        <v>11036725.529999999</v>
      </c>
      <c r="L311" s="43">
        <v>698</v>
      </c>
    </row>
    <row r="312" spans="1:12" s="40" customFormat="1" ht="13" x14ac:dyDescent="0.3">
      <c r="A312" s="16">
        <v>4781</v>
      </c>
      <c r="B312" s="17">
        <v>43</v>
      </c>
      <c r="C312" s="17">
        <v>9</v>
      </c>
      <c r="D312" s="17">
        <v>1</v>
      </c>
      <c r="E312" s="18" t="s">
        <v>322</v>
      </c>
      <c r="F312" s="39">
        <v>39099964.090000004</v>
      </c>
      <c r="G312" s="39">
        <v>1592623.74</v>
      </c>
      <c r="H312" s="39">
        <v>1515921.94</v>
      </c>
      <c r="I312" s="39">
        <v>42208509.770000003</v>
      </c>
      <c r="J312" s="39">
        <v>2772671.68</v>
      </c>
      <c r="K312" s="39">
        <v>44981181.450000003</v>
      </c>
      <c r="L312" s="43">
        <v>2359</v>
      </c>
    </row>
    <row r="313" spans="1:12" s="40" customFormat="1" ht="13" x14ac:dyDescent="0.3">
      <c r="A313" s="16">
        <v>4795</v>
      </c>
      <c r="B313" s="17">
        <v>60</v>
      </c>
      <c r="C313" s="17">
        <v>9</v>
      </c>
      <c r="D313" s="17">
        <v>1</v>
      </c>
      <c r="E313" s="18" t="s">
        <v>323</v>
      </c>
      <c r="F313" s="39">
        <v>7169841.7999999998</v>
      </c>
      <c r="G313" s="39">
        <v>342691.87</v>
      </c>
      <c r="H313" s="39">
        <v>772575</v>
      </c>
      <c r="I313" s="39">
        <v>8285108.6699999999</v>
      </c>
      <c r="J313" s="39">
        <v>325435.65000000002</v>
      </c>
      <c r="K313" s="39">
        <v>8610544.3200000003</v>
      </c>
      <c r="L313" s="43">
        <v>531</v>
      </c>
    </row>
    <row r="314" spans="1:12" s="40" customFormat="1" ht="13" x14ac:dyDescent="0.3">
      <c r="A314" s="16">
        <v>4802</v>
      </c>
      <c r="B314" s="17">
        <v>3</v>
      </c>
      <c r="C314" s="17">
        <v>11</v>
      </c>
      <c r="D314" s="17">
        <v>1</v>
      </c>
      <c r="E314" s="18" t="s">
        <v>324</v>
      </c>
      <c r="F314" s="39">
        <v>33262918.210000001</v>
      </c>
      <c r="G314" s="39">
        <v>2108026.0099999998</v>
      </c>
      <c r="H314" s="39">
        <v>3752607.38</v>
      </c>
      <c r="I314" s="39">
        <v>39123551.600000001</v>
      </c>
      <c r="J314" s="39">
        <v>2429139.13</v>
      </c>
      <c r="K314" s="39">
        <v>41552690.729999997</v>
      </c>
      <c r="L314" s="43">
        <v>2274</v>
      </c>
    </row>
    <row r="315" spans="1:12" s="40" customFormat="1" ht="13" x14ac:dyDescent="0.3">
      <c r="A315" s="16">
        <v>4851</v>
      </c>
      <c r="B315" s="17">
        <v>52</v>
      </c>
      <c r="C315" s="17">
        <v>3</v>
      </c>
      <c r="D315" s="17">
        <v>1</v>
      </c>
      <c r="E315" s="18" t="s">
        <v>325</v>
      </c>
      <c r="F315" s="39">
        <v>21045194.530000001</v>
      </c>
      <c r="G315" s="39">
        <v>1351292.28</v>
      </c>
      <c r="H315" s="39">
        <v>4472719.2699999996</v>
      </c>
      <c r="I315" s="39">
        <v>26869206.079999998</v>
      </c>
      <c r="J315" s="39">
        <v>1105992.3999999999</v>
      </c>
      <c r="K315" s="39">
        <v>27975198.48</v>
      </c>
      <c r="L315" s="43">
        <v>1344</v>
      </c>
    </row>
    <row r="316" spans="1:12" s="40" customFormat="1" ht="13" x14ac:dyDescent="0.3">
      <c r="A316" s="16">
        <v>3122</v>
      </c>
      <c r="B316" s="17">
        <v>67</v>
      </c>
      <c r="C316" s="17">
        <v>1</v>
      </c>
      <c r="D316" s="17">
        <v>3</v>
      </c>
      <c r="E316" s="18" t="s">
        <v>326</v>
      </c>
      <c r="F316" s="39">
        <v>4748713.99</v>
      </c>
      <c r="G316" s="39">
        <v>201101.26</v>
      </c>
      <c r="H316" s="39">
        <v>408395.84</v>
      </c>
      <c r="I316" s="39">
        <v>5358211.09</v>
      </c>
      <c r="J316" s="39">
        <v>164834.75</v>
      </c>
      <c r="K316" s="39">
        <v>5523045.8399999999</v>
      </c>
      <c r="L316" s="43">
        <v>400</v>
      </c>
    </row>
    <row r="317" spans="1:12" s="40" customFormat="1" ht="13" x14ac:dyDescent="0.3">
      <c r="A317" s="16">
        <v>4865</v>
      </c>
      <c r="B317" s="17">
        <v>11</v>
      </c>
      <c r="C317" s="17">
        <v>5</v>
      </c>
      <c r="D317" s="17">
        <v>1</v>
      </c>
      <c r="E317" s="18" t="s">
        <v>327</v>
      </c>
      <c r="F317" s="39">
        <v>7078216.71</v>
      </c>
      <c r="G317" s="39">
        <v>299441.46000000002</v>
      </c>
      <c r="H317" s="39">
        <v>225305.5</v>
      </c>
      <c r="I317" s="39">
        <v>7602963.6699999999</v>
      </c>
      <c r="J317" s="39">
        <v>410365.98</v>
      </c>
      <c r="K317" s="39">
        <v>8013329.6500000004</v>
      </c>
      <c r="L317" s="43">
        <v>405</v>
      </c>
    </row>
    <row r="318" spans="1:12" s="40" customFormat="1" ht="13" x14ac:dyDescent="0.3">
      <c r="A318" s="16">
        <v>4872</v>
      </c>
      <c r="B318" s="17">
        <v>20</v>
      </c>
      <c r="C318" s="17">
        <v>6</v>
      </c>
      <c r="D318" s="17">
        <v>1</v>
      </c>
      <c r="E318" s="18" t="s">
        <v>328</v>
      </c>
      <c r="F318" s="39">
        <v>22200164.91</v>
      </c>
      <c r="G318" s="39">
        <v>927764.18</v>
      </c>
      <c r="H318" s="39">
        <v>2325632.64</v>
      </c>
      <c r="I318" s="39">
        <v>25453561.73</v>
      </c>
      <c r="J318" s="39">
        <v>1299879.8</v>
      </c>
      <c r="K318" s="39">
        <v>26753441.530000001</v>
      </c>
      <c r="L318" s="43">
        <v>1508</v>
      </c>
    </row>
    <row r="319" spans="1:12" s="40" customFormat="1" ht="13" x14ac:dyDescent="0.3">
      <c r="A319" s="16">
        <v>4893</v>
      </c>
      <c r="B319" s="17">
        <v>47</v>
      </c>
      <c r="C319" s="17">
        <v>11</v>
      </c>
      <c r="D319" s="17">
        <v>1</v>
      </c>
      <c r="E319" s="18" t="s">
        <v>329</v>
      </c>
      <c r="F319" s="39">
        <v>41605852.140000001</v>
      </c>
      <c r="G319" s="39">
        <v>1991071.08</v>
      </c>
      <c r="H319" s="39">
        <v>5972146.3399999999</v>
      </c>
      <c r="I319" s="39">
        <v>49569069.560000002</v>
      </c>
      <c r="J319" s="39">
        <v>3372799.17</v>
      </c>
      <c r="K319" s="39">
        <v>52941868.729999997</v>
      </c>
      <c r="L319" s="43">
        <v>3410</v>
      </c>
    </row>
    <row r="320" spans="1:12" s="40" customFormat="1" ht="13" x14ac:dyDescent="0.3">
      <c r="A320" s="16">
        <v>4904</v>
      </c>
      <c r="B320" s="17">
        <v>22</v>
      </c>
      <c r="C320" s="17">
        <v>3</v>
      </c>
      <c r="D320" s="17">
        <v>1</v>
      </c>
      <c r="E320" s="18" t="s">
        <v>330</v>
      </c>
      <c r="F320" s="39">
        <v>8461423.8599999994</v>
      </c>
      <c r="G320" s="39">
        <v>721616.01</v>
      </c>
      <c r="H320" s="39">
        <v>708041.8</v>
      </c>
      <c r="I320" s="39">
        <v>9891081.6699999999</v>
      </c>
      <c r="J320" s="39">
        <v>403717.16</v>
      </c>
      <c r="K320" s="39">
        <v>10294798.83</v>
      </c>
      <c r="L320" s="43">
        <v>516</v>
      </c>
    </row>
    <row r="321" spans="1:12" s="40" customFormat="1" ht="13" x14ac:dyDescent="0.3">
      <c r="A321" s="16">
        <v>5523</v>
      </c>
      <c r="B321" s="17">
        <v>56</v>
      </c>
      <c r="C321" s="17">
        <v>3</v>
      </c>
      <c r="D321" s="17">
        <v>1</v>
      </c>
      <c r="E321" s="18" t="s">
        <v>331</v>
      </c>
      <c r="F321" s="39">
        <v>18136232.420000002</v>
      </c>
      <c r="G321" s="39">
        <v>1240289.73</v>
      </c>
      <c r="H321" s="39">
        <v>1073814.05</v>
      </c>
      <c r="I321" s="39">
        <v>20450336.199999999</v>
      </c>
      <c r="J321" s="39">
        <v>741695.79</v>
      </c>
      <c r="K321" s="39">
        <v>21192031.989999998</v>
      </c>
      <c r="L321" s="43">
        <v>1163</v>
      </c>
    </row>
    <row r="322" spans="1:12" s="40" customFormat="1" ht="13" x14ac:dyDescent="0.3">
      <c r="A322" s="16">
        <v>3850</v>
      </c>
      <c r="B322" s="17">
        <v>22</v>
      </c>
      <c r="C322" s="17">
        <v>3</v>
      </c>
      <c r="D322" s="17">
        <v>1</v>
      </c>
      <c r="E322" s="18" t="s">
        <v>332</v>
      </c>
      <c r="F322" s="39">
        <v>10795197.619999999</v>
      </c>
      <c r="G322" s="39">
        <v>546238.79</v>
      </c>
      <c r="H322" s="39">
        <v>970210</v>
      </c>
      <c r="I322" s="39">
        <v>12311646.41</v>
      </c>
      <c r="J322" s="39">
        <v>576063.15</v>
      </c>
      <c r="K322" s="39">
        <v>12887709.560000001</v>
      </c>
      <c r="L322" s="43">
        <v>694</v>
      </c>
    </row>
    <row r="323" spans="1:12" s="40" customFormat="1" ht="13" x14ac:dyDescent="0.3">
      <c r="A323" s="16">
        <v>4956</v>
      </c>
      <c r="B323" s="17">
        <v>20</v>
      </c>
      <c r="C323" s="17">
        <v>6</v>
      </c>
      <c r="D323" s="17">
        <v>1</v>
      </c>
      <c r="E323" s="18" t="s">
        <v>333</v>
      </c>
      <c r="F323" s="39">
        <v>10657645.48</v>
      </c>
      <c r="G323" s="39">
        <v>838705.73</v>
      </c>
      <c r="H323" s="39">
        <v>1451031.87</v>
      </c>
      <c r="I323" s="39">
        <v>12947383.08</v>
      </c>
      <c r="J323" s="39">
        <v>536511.93999999994</v>
      </c>
      <c r="K323" s="39">
        <v>13483895.02</v>
      </c>
      <c r="L323" s="43">
        <v>846</v>
      </c>
    </row>
    <row r="324" spans="1:12" s="40" customFormat="1" ht="13" x14ac:dyDescent="0.3">
      <c r="A324" s="16">
        <v>4963</v>
      </c>
      <c r="B324" s="17">
        <v>49</v>
      </c>
      <c r="C324" s="17">
        <v>5</v>
      </c>
      <c r="D324" s="17">
        <v>1</v>
      </c>
      <c r="E324" s="18" t="s">
        <v>334</v>
      </c>
      <c r="F324" s="39">
        <v>9298464</v>
      </c>
      <c r="G324" s="39">
        <v>429729.07</v>
      </c>
      <c r="H324" s="39">
        <v>0</v>
      </c>
      <c r="I324" s="39">
        <v>9728193.0700000003</v>
      </c>
      <c r="J324" s="39">
        <v>274716.08</v>
      </c>
      <c r="K324" s="39">
        <v>10002909.15</v>
      </c>
      <c r="L324" s="43">
        <v>547</v>
      </c>
    </row>
    <row r="325" spans="1:12" s="40" customFormat="1" ht="13" x14ac:dyDescent="0.3">
      <c r="A325" s="16">
        <v>1673</v>
      </c>
      <c r="B325" s="17">
        <v>29</v>
      </c>
      <c r="C325" s="17">
        <v>4</v>
      </c>
      <c r="D325" s="17">
        <v>1</v>
      </c>
      <c r="E325" s="18" t="s">
        <v>335</v>
      </c>
      <c r="F325" s="39">
        <v>8171867.6200000001</v>
      </c>
      <c r="G325" s="39">
        <v>578781.34</v>
      </c>
      <c r="H325" s="39">
        <v>902949.33</v>
      </c>
      <c r="I325" s="39">
        <v>9653598.2899999991</v>
      </c>
      <c r="J325" s="39">
        <v>564340.53</v>
      </c>
      <c r="K325" s="39">
        <v>10217938.82</v>
      </c>
      <c r="L325" s="44">
        <v>476</v>
      </c>
    </row>
    <row r="326" spans="1:12" s="40" customFormat="1" ht="13" x14ac:dyDescent="0.3">
      <c r="A326" s="16">
        <v>2422</v>
      </c>
      <c r="B326" s="17">
        <v>55</v>
      </c>
      <c r="C326" s="17">
        <v>11</v>
      </c>
      <c r="D326" s="17">
        <v>1</v>
      </c>
      <c r="E326" s="18" t="s">
        <v>336</v>
      </c>
      <c r="F326" s="39">
        <v>23374605.789999999</v>
      </c>
      <c r="G326" s="39">
        <v>957375.15</v>
      </c>
      <c r="H326" s="39">
        <v>9869058.8200000003</v>
      </c>
      <c r="I326" s="39">
        <v>34201039.759999998</v>
      </c>
      <c r="J326" s="39">
        <v>1593831.52</v>
      </c>
      <c r="K326" s="39">
        <v>35794871.280000001</v>
      </c>
      <c r="L326" s="43">
        <v>1633</v>
      </c>
    </row>
    <row r="327" spans="1:12" s="40" customFormat="1" ht="13" x14ac:dyDescent="0.3">
      <c r="A327" s="16">
        <v>5019</v>
      </c>
      <c r="B327" s="17">
        <v>48</v>
      </c>
      <c r="C327" s="17">
        <v>11</v>
      </c>
      <c r="D327" s="17">
        <v>1</v>
      </c>
      <c r="E327" s="18" t="s">
        <v>337</v>
      </c>
      <c r="F327" s="39">
        <v>14847066.17</v>
      </c>
      <c r="G327" s="39">
        <v>584438.47</v>
      </c>
      <c r="H327" s="39">
        <v>2284103.87</v>
      </c>
      <c r="I327" s="39">
        <v>17715608.510000002</v>
      </c>
      <c r="J327" s="39">
        <v>2076929.91</v>
      </c>
      <c r="K327" s="39">
        <v>19792538.420000002</v>
      </c>
      <c r="L327" s="43">
        <v>1110</v>
      </c>
    </row>
    <row r="328" spans="1:12" s="40" customFormat="1" ht="13" x14ac:dyDescent="0.3">
      <c r="A328" s="16">
        <v>5026</v>
      </c>
      <c r="B328" s="17">
        <v>40</v>
      </c>
      <c r="C328" s="17">
        <v>1</v>
      </c>
      <c r="D328" s="17">
        <v>1</v>
      </c>
      <c r="E328" s="18" t="s">
        <v>338</v>
      </c>
      <c r="F328" s="39">
        <v>13602281.109999999</v>
      </c>
      <c r="G328" s="39">
        <v>134137.70000000001</v>
      </c>
      <c r="H328" s="39">
        <v>4164797.98</v>
      </c>
      <c r="I328" s="39">
        <v>17901216.789999999</v>
      </c>
      <c r="J328" s="39">
        <v>1063808.56</v>
      </c>
      <c r="K328" s="39">
        <v>18965025.350000001</v>
      </c>
      <c r="L328" s="43">
        <v>811</v>
      </c>
    </row>
    <row r="329" spans="1:12" s="40" customFormat="1" ht="13" x14ac:dyDescent="0.3">
      <c r="A329" s="16">
        <v>5068</v>
      </c>
      <c r="B329" s="17">
        <v>30</v>
      </c>
      <c r="C329" s="17">
        <v>2</v>
      </c>
      <c r="D329" s="17">
        <v>3</v>
      </c>
      <c r="E329" s="18" t="s">
        <v>339</v>
      </c>
      <c r="F329" s="39">
        <v>14712303.800000001</v>
      </c>
      <c r="G329" s="39">
        <v>709223.03</v>
      </c>
      <c r="H329" s="39">
        <v>2573214.2200000002</v>
      </c>
      <c r="I329" s="39">
        <v>17994741.050000001</v>
      </c>
      <c r="J329" s="39">
        <v>549904.04</v>
      </c>
      <c r="K329" s="39">
        <v>18544645.09</v>
      </c>
      <c r="L329" s="43">
        <v>1043</v>
      </c>
    </row>
    <row r="330" spans="1:12" s="40" customFormat="1" ht="13" x14ac:dyDescent="0.3">
      <c r="A330" s="16">
        <v>5100</v>
      </c>
      <c r="B330" s="17">
        <v>56</v>
      </c>
      <c r="C330" s="17">
        <v>5</v>
      </c>
      <c r="D330" s="17">
        <v>1</v>
      </c>
      <c r="E330" s="18" t="s">
        <v>340</v>
      </c>
      <c r="F330" s="39">
        <v>35605347.009999998</v>
      </c>
      <c r="G330" s="39">
        <v>1776172.8</v>
      </c>
      <c r="H330" s="39">
        <v>8807294.0500000007</v>
      </c>
      <c r="I330" s="39">
        <v>46188813.859999999</v>
      </c>
      <c r="J330" s="39">
        <v>3425666.2</v>
      </c>
      <c r="K330" s="39">
        <v>49614480.060000002</v>
      </c>
      <c r="L330" s="43">
        <v>2625</v>
      </c>
    </row>
    <row r="331" spans="1:12" s="40" customFormat="1" ht="13" x14ac:dyDescent="0.3">
      <c r="A331" s="16">
        <v>5124</v>
      </c>
      <c r="B331" s="17">
        <v>12</v>
      </c>
      <c r="C331" s="17">
        <v>3</v>
      </c>
      <c r="D331" s="17">
        <v>1</v>
      </c>
      <c r="E331" s="18" t="s">
        <v>341</v>
      </c>
      <c r="F331" s="39">
        <v>4297629.5</v>
      </c>
      <c r="G331" s="39">
        <v>312777.7</v>
      </c>
      <c r="H331" s="39">
        <v>109039.72</v>
      </c>
      <c r="I331" s="39">
        <v>4719446.92</v>
      </c>
      <c r="J331" s="39">
        <v>359015.1</v>
      </c>
      <c r="K331" s="39">
        <v>5078462.0199999996</v>
      </c>
      <c r="L331" s="43">
        <v>262</v>
      </c>
    </row>
    <row r="332" spans="1:12" s="40" customFormat="1" ht="13" x14ac:dyDescent="0.3">
      <c r="A332" s="16">
        <v>5130</v>
      </c>
      <c r="B332" s="17">
        <v>15</v>
      </c>
      <c r="C332" s="17">
        <v>7</v>
      </c>
      <c r="D332" s="17">
        <v>1</v>
      </c>
      <c r="E332" s="18" t="s">
        <v>342</v>
      </c>
      <c r="F332" s="39">
        <v>10212329.640000001</v>
      </c>
      <c r="G332" s="39">
        <v>568334.75</v>
      </c>
      <c r="H332" s="39">
        <v>5123323.2</v>
      </c>
      <c r="I332" s="39">
        <v>15903987.59</v>
      </c>
      <c r="J332" s="39">
        <v>334754.40999999997</v>
      </c>
      <c r="K332" s="39">
        <v>16238742</v>
      </c>
      <c r="L332" s="43">
        <v>538</v>
      </c>
    </row>
    <row r="333" spans="1:12" s="40" customFormat="1" ht="13" x14ac:dyDescent="0.3">
      <c r="A333" s="16">
        <v>5138</v>
      </c>
      <c r="B333" s="17">
        <v>44</v>
      </c>
      <c r="C333" s="17">
        <v>7</v>
      </c>
      <c r="D333" s="17">
        <v>1</v>
      </c>
      <c r="E333" s="18" t="s">
        <v>343</v>
      </c>
      <c r="F333" s="39">
        <v>30397650.09</v>
      </c>
      <c r="G333" s="39">
        <v>1698238.46</v>
      </c>
      <c r="H333" s="39">
        <v>3485080.84</v>
      </c>
      <c r="I333" s="39">
        <v>35580969.390000001</v>
      </c>
      <c r="J333" s="39">
        <v>1982640.84</v>
      </c>
      <c r="K333" s="39">
        <v>37563610.229999997</v>
      </c>
      <c r="L333" s="43">
        <v>1998</v>
      </c>
    </row>
    <row r="334" spans="1:12" s="40" customFormat="1" ht="13" x14ac:dyDescent="0.3">
      <c r="A334" s="16">
        <v>5258</v>
      </c>
      <c r="B334" s="17">
        <v>64</v>
      </c>
      <c r="C334" s="17">
        <v>2</v>
      </c>
      <c r="D334" s="17">
        <v>3</v>
      </c>
      <c r="E334" s="18" t="s">
        <v>344</v>
      </c>
      <c r="F334" s="39">
        <v>3236160.04</v>
      </c>
      <c r="G334" s="39">
        <v>53767.79</v>
      </c>
      <c r="H334" s="39">
        <v>379988.5</v>
      </c>
      <c r="I334" s="39">
        <v>3669916.33</v>
      </c>
      <c r="J334" s="39">
        <v>389180.61</v>
      </c>
      <c r="K334" s="39">
        <v>4059096.94</v>
      </c>
      <c r="L334" s="43">
        <v>208</v>
      </c>
    </row>
    <row r="335" spans="1:12" s="40" customFormat="1" ht="13" x14ac:dyDescent="0.3">
      <c r="A335" s="16">
        <v>5264</v>
      </c>
      <c r="B335" s="17">
        <v>58</v>
      </c>
      <c r="C335" s="17">
        <v>8</v>
      </c>
      <c r="D335" s="17">
        <v>1</v>
      </c>
      <c r="E335" s="18" t="s">
        <v>345</v>
      </c>
      <c r="F335" s="39">
        <v>32054797.670000002</v>
      </c>
      <c r="G335" s="39">
        <v>1273324.3400000001</v>
      </c>
      <c r="H335" s="39">
        <v>2926843.75</v>
      </c>
      <c r="I335" s="39">
        <v>36254965.759999998</v>
      </c>
      <c r="J335" s="39">
        <v>2331872.5099999998</v>
      </c>
      <c r="K335" s="39">
        <v>38586838.270000003</v>
      </c>
      <c r="L335" s="43">
        <v>2351</v>
      </c>
    </row>
    <row r="336" spans="1:12" s="40" customFormat="1" ht="13" x14ac:dyDescent="0.3">
      <c r="A336" s="16">
        <v>5271</v>
      </c>
      <c r="B336" s="17">
        <v>59</v>
      </c>
      <c r="C336" s="17">
        <v>7</v>
      </c>
      <c r="D336" s="17">
        <v>1</v>
      </c>
      <c r="E336" s="18" t="s">
        <v>346</v>
      </c>
      <c r="F336" s="39">
        <v>142911988.27000001</v>
      </c>
      <c r="G336" s="39">
        <v>2710717.93</v>
      </c>
      <c r="H336" s="39">
        <v>10833972.800000001</v>
      </c>
      <c r="I336" s="39">
        <v>156456679</v>
      </c>
      <c r="J336" s="39">
        <v>9744246.5600000005</v>
      </c>
      <c r="K336" s="39">
        <v>166200925.56</v>
      </c>
      <c r="L336" s="43">
        <v>10211</v>
      </c>
    </row>
    <row r="337" spans="1:12" s="40" customFormat="1" ht="13" x14ac:dyDescent="0.3">
      <c r="A337" s="16">
        <v>5278</v>
      </c>
      <c r="B337" s="17">
        <v>59</v>
      </c>
      <c r="C337" s="17">
        <v>7</v>
      </c>
      <c r="D337" s="17">
        <v>1</v>
      </c>
      <c r="E337" s="18" t="s">
        <v>347</v>
      </c>
      <c r="F337" s="39">
        <v>22320150.960000001</v>
      </c>
      <c r="G337" s="39">
        <v>878286.99</v>
      </c>
      <c r="H337" s="39">
        <v>4420559.5599999996</v>
      </c>
      <c r="I337" s="39">
        <v>27618997.510000002</v>
      </c>
      <c r="J337" s="39">
        <v>1604516.94</v>
      </c>
      <c r="K337" s="39">
        <v>29223514.449999999</v>
      </c>
      <c r="L337" s="43">
        <v>1682</v>
      </c>
    </row>
    <row r="338" spans="1:12" s="40" customFormat="1" ht="13" x14ac:dyDescent="0.3">
      <c r="A338" s="16">
        <v>5306</v>
      </c>
      <c r="B338" s="17">
        <v>65</v>
      </c>
      <c r="C338" s="17">
        <v>11</v>
      </c>
      <c r="D338" s="17">
        <v>1</v>
      </c>
      <c r="E338" s="18" t="s">
        <v>348</v>
      </c>
      <c r="F338" s="39">
        <v>9373719.3200000003</v>
      </c>
      <c r="G338" s="39">
        <v>508994.25</v>
      </c>
      <c r="H338" s="39">
        <v>1253753.1399999999</v>
      </c>
      <c r="I338" s="39">
        <v>11136466.710000001</v>
      </c>
      <c r="J338" s="39">
        <v>689973.73</v>
      </c>
      <c r="K338" s="39">
        <v>11826440.439999999</v>
      </c>
      <c r="L338" s="43">
        <v>571</v>
      </c>
    </row>
    <row r="339" spans="1:12" s="40" customFormat="1" ht="13" x14ac:dyDescent="0.3">
      <c r="A339" s="16">
        <v>5348</v>
      </c>
      <c r="B339" s="17">
        <v>44</v>
      </c>
      <c r="C339" s="17">
        <v>6</v>
      </c>
      <c r="D339" s="17">
        <v>1</v>
      </c>
      <c r="E339" s="18" t="s">
        <v>349</v>
      </c>
      <c r="F339" s="39">
        <v>11582867.960000001</v>
      </c>
      <c r="G339" s="39">
        <v>625791.87</v>
      </c>
      <c r="H339" s="39">
        <v>263515.44</v>
      </c>
      <c r="I339" s="39">
        <v>12472175.27</v>
      </c>
      <c r="J339" s="39">
        <v>1344686.41</v>
      </c>
      <c r="K339" s="39">
        <v>13816861.68</v>
      </c>
      <c r="L339" s="43">
        <v>714</v>
      </c>
    </row>
    <row r="340" spans="1:12" s="40" customFormat="1" ht="13" x14ac:dyDescent="0.3">
      <c r="A340" s="16">
        <v>5355</v>
      </c>
      <c r="B340" s="17">
        <v>40</v>
      </c>
      <c r="C340" s="17">
        <v>1</v>
      </c>
      <c r="D340" s="17">
        <v>1</v>
      </c>
      <c r="E340" s="18" t="s">
        <v>350</v>
      </c>
      <c r="F340" s="39">
        <v>26556157.629999999</v>
      </c>
      <c r="G340" s="39">
        <v>275444.09999999998</v>
      </c>
      <c r="H340" s="39">
        <v>4101174.74</v>
      </c>
      <c r="I340" s="39">
        <v>30932776.469999999</v>
      </c>
      <c r="J340" s="39">
        <v>2949444.01</v>
      </c>
      <c r="K340" s="39">
        <v>33882220.479999997</v>
      </c>
      <c r="L340" s="43">
        <v>1710</v>
      </c>
    </row>
    <row r="341" spans="1:12" s="40" customFormat="1" ht="13" x14ac:dyDescent="0.3">
      <c r="A341" s="16">
        <v>5362</v>
      </c>
      <c r="B341" s="17">
        <v>33</v>
      </c>
      <c r="C341" s="17">
        <v>3</v>
      </c>
      <c r="D341" s="17">
        <v>1</v>
      </c>
      <c r="E341" s="18" t="s">
        <v>351</v>
      </c>
      <c r="F341" s="39">
        <v>5179727.2</v>
      </c>
      <c r="G341" s="39">
        <v>230690.09</v>
      </c>
      <c r="H341" s="39">
        <v>169400</v>
      </c>
      <c r="I341" s="39">
        <v>5579817.29</v>
      </c>
      <c r="J341" s="39">
        <v>657063.44999999995</v>
      </c>
      <c r="K341" s="39">
        <v>6236880.7400000002</v>
      </c>
      <c r="L341" s="43">
        <v>331</v>
      </c>
    </row>
    <row r="342" spans="1:12" s="40" customFormat="1" ht="13" x14ac:dyDescent="0.3">
      <c r="A342" s="16">
        <v>5369</v>
      </c>
      <c r="B342" s="17">
        <v>30</v>
      </c>
      <c r="C342" s="17">
        <v>2</v>
      </c>
      <c r="D342" s="17">
        <v>3</v>
      </c>
      <c r="E342" s="18" t="s">
        <v>352</v>
      </c>
      <c r="F342" s="39">
        <v>5452980.5199999996</v>
      </c>
      <c r="G342" s="39">
        <v>134749.89000000001</v>
      </c>
      <c r="H342" s="39">
        <v>576343.13</v>
      </c>
      <c r="I342" s="39">
        <v>6164073.54</v>
      </c>
      <c r="J342" s="39">
        <v>284787.46999999997</v>
      </c>
      <c r="K342" s="39">
        <v>6448861.0099999998</v>
      </c>
      <c r="L342" s="43">
        <v>395</v>
      </c>
    </row>
    <row r="343" spans="1:12" s="40" customFormat="1" ht="13" x14ac:dyDescent="0.3">
      <c r="A343" s="16">
        <v>5376</v>
      </c>
      <c r="B343" s="17">
        <v>7</v>
      </c>
      <c r="C343" s="17">
        <v>11</v>
      </c>
      <c r="D343" s="17">
        <v>1</v>
      </c>
      <c r="E343" s="18" t="s">
        <v>353</v>
      </c>
      <c r="F343" s="39">
        <v>8046970.2400000002</v>
      </c>
      <c r="G343" s="39">
        <v>467301.49</v>
      </c>
      <c r="H343" s="39">
        <v>341236.44</v>
      </c>
      <c r="I343" s="39">
        <v>8855508.1699999999</v>
      </c>
      <c r="J343" s="39">
        <v>530774.9</v>
      </c>
      <c r="K343" s="39">
        <v>9386283.0700000003</v>
      </c>
      <c r="L343" s="43">
        <v>412</v>
      </c>
    </row>
    <row r="344" spans="1:12" s="40" customFormat="1" ht="13" x14ac:dyDescent="0.3">
      <c r="A344" s="16">
        <v>5390</v>
      </c>
      <c r="B344" s="17">
        <v>66</v>
      </c>
      <c r="C344" s="17">
        <v>6</v>
      </c>
      <c r="D344" s="17">
        <v>1</v>
      </c>
      <c r="E344" s="18" t="s">
        <v>354</v>
      </c>
      <c r="F344" s="39">
        <v>36442587.5</v>
      </c>
      <c r="G344" s="39">
        <v>1840965.41</v>
      </c>
      <c r="H344" s="39">
        <v>4183782.98</v>
      </c>
      <c r="I344" s="39">
        <v>42467335.890000001</v>
      </c>
      <c r="J344" s="39">
        <v>1824985.66</v>
      </c>
      <c r="K344" s="39">
        <v>44292321.549999997</v>
      </c>
      <c r="L344" s="43">
        <v>2865</v>
      </c>
    </row>
    <row r="345" spans="1:12" s="40" customFormat="1" ht="13" x14ac:dyDescent="0.3">
      <c r="A345" s="16">
        <v>5397</v>
      </c>
      <c r="B345" s="17">
        <v>16</v>
      </c>
      <c r="C345" s="17">
        <v>12</v>
      </c>
      <c r="D345" s="17">
        <v>1</v>
      </c>
      <c r="E345" s="18" t="s">
        <v>355</v>
      </c>
      <c r="F345" s="39">
        <v>4799247.25</v>
      </c>
      <c r="G345" s="39">
        <v>248253.09</v>
      </c>
      <c r="H345" s="39">
        <v>96035.76</v>
      </c>
      <c r="I345" s="39">
        <v>5143536.0999999996</v>
      </c>
      <c r="J345" s="39">
        <v>666704.96</v>
      </c>
      <c r="K345" s="39">
        <v>5810241.0599999996</v>
      </c>
      <c r="L345" s="43">
        <v>328</v>
      </c>
    </row>
    <row r="346" spans="1:12" s="40" customFormat="1" ht="13" x14ac:dyDescent="0.3">
      <c r="A346" s="16">
        <v>5432</v>
      </c>
      <c r="B346" s="17">
        <v>55</v>
      </c>
      <c r="C346" s="17">
        <v>11</v>
      </c>
      <c r="D346" s="17">
        <v>1</v>
      </c>
      <c r="E346" s="18" t="s">
        <v>356</v>
      </c>
      <c r="F346" s="39">
        <v>18771800.800000001</v>
      </c>
      <c r="G346" s="39">
        <v>1154305.3400000001</v>
      </c>
      <c r="H346" s="39">
        <v>2123731.9</v>
      </c>
      <c r="I346" s="39">
        <v>22049838.039999999</v>
      </c>
      <c r="J346" s="39">
        <v>1285093.1299999999</v>
      </c>
      <c r="K346" s="39">
        <v>23334931.170000002</v>
      </c>
      <c r="L346" s="43">
        <v>1548</v>
      </c>
    </row>
    <row r="347" spans="1:12" s="40" customFormat="1" ht="13" x14ac:dyDescent="0.3">
      <c r="A347" s="16">
        <v>5439</v>
      </c>
      <c r="B347" s="17">
        <v>40</v>
      </c>
      <c r="C347" s="17">
        <v>1</v>
      </c>
      <c r="D347" s="17">
        <v>1</v>
      </c>
      <c r="E347" s="18" t="s">
        <v>357</v>
      </c>
      <c r="F347" s="39">
        <v>42779461.490000002</v>
      </c>
      <c r="G347" s="39">
        <v>537148.93000000005</v>
      </c>
      <c r="H347" s="39">
        <v>4062690.83</v>
      </c>
      <c r="I347" s="39">
        <v>47379301.25</v>
      </c>
      <c r="J347" s="39">
        <v>3447506.89</v>
      </c>
      <c r="K347" s="39">
        <v>50826808.140000001</v>
      </c>
      <c r="L347" s="43">
        <v>2832</v>
      </c>
    </row>
    <row r="348" spans="1:12" s="40" customFormat="1" ht="13" x14ac:dyDescent="0.3">
      <c r="A348" s="16">
        <v>4522</v>
      </c>
      <c r="B348" s="17">
        <v>4</v>
      </c>
      <c r="C348" s="17">
        <v>12</v>
      </c>
      <c r="D348" s="17">
        <v>1</v>
      </c>
      <c r="E348" s="18" t="s">
        <v>358</v>
      </c>
      <c r="F348" s="39">
        <v>4215510.92</v>
      </c>
      <c r="G348" s="39">
        <v>387578.37</v>
      </c>
      <c r="H348" s="39">
        <v>8362.86</v>
      </c>
      <c r="I348" s="39">
        <v>4611452.1500000004</v>
      </c>
      <c r="J348" s="39">
        <v>227186.8</v>
      </c>
      <c r="K348" s="39">
        <v>4838638.95</v>
      </c>
      <c r="L348" s="43">
        <v>232</v>
      </c>
    </row>
    <row r="349" spans="1:12" s="40" customFormat="1" ht="13" x14ac:dyDescent="0.3">
      <c r="A349" s="16">
        <v>5457</v>
      </c>
      <c r="B349" s="17">
        <v>15</v>
      </c>
      <c r="C349" s="17">
        <v>7</v>
      </c>
      <c r="D349" s="17">
        <v>1</v>
      </c>
      <c r="E349" s="18" t="s">
        <v>359</v>
      </c>
      <c r="F349" s="39">
        <v>15720181.560000001</v>
      </c>
      <c r="G349" s="39">
        <v>831168.24</v>
      </c>
      <c r="H349" s="39">
        <v>4170108.33</v>
      </c>
      <c r="I349" s="39">
        <v>20721458.129999999</v>
      </c>
      <c r="J349" s="39">
        <v>821250.47</v>
      </c>
      <c r="K349" s="39">
        <v>21542708.600000001</v>
      </c>
      <c r="L349" s="43">
        <v>1060</v>
      </c>
    </row>
    <row r="350" spans="1:12" s="40" customFormat="1" ht="13" x14ac:dyDescent="0.3">
      <c r="A350" s="16">
        <v>2485</v>
      </c>
      <c r="B350" s="17">
        <v>22</v>
      </c>
      <c r="C350" s="17">
        <v>3</v>
      </c>
      <c r="D350" s="17">
        <v>1</v>
      </c>
      <c r="E350" s="18" t="s">
        <v>360</v>
      </c>
      <c r="F350" s="39">
        <v>7573930.9199999999</v>
      </c>
      <c r="G350" s="39">
        <v>180487.08</v>
      </c>
      <c r="H350" s="39">
        <v>2256882.36</v>
      </c>
      <c r="I350" s="39">
        <v>10011300.359999999</v>
      </c>
      <c r="J350" s="39">
        <v>1164813.28</v>
      </c>
      <c r="K350" s="39">
        <v>11176113.640000001</v>
      </c>
      <c r="L350" s="43">
        <v>554</v>
      </c>
    </row>
    <row r="351" spans="1:12" s="40" customFormat="1" ht="13" x14ac:dyDescent="0.3">
      <c r="A351" s="16">
        <v>5460</v>
      </c>
      <c r="B351" s="17">
        <v>41</v>
      </c>
      <c r="C351" s="17">
        <v>4</v>
      </c>
      <c r="D351" s="17">
        <v>1</v>
      </c>
      <c r="E351" s="18" t="s">
        <v>361</v>
      </c>
      <c r="F351" s="39">
        <v>41442519.189999998</v>
      </c>
      <c r="G351" s="39">
        <v>2900524.04</v>
      </c>
      <c r="H351" s="39">
        <v>6747886.5599999996</v>
      </c>
      <c r="I351" s="39">
        <v>51090929.789999999</v>
      </c>
      <c r="J351" s="39">
        <v>2943466.31</v>
      </c>
      <c r="K351" s="39">
        <v>54034396.100000001</v>
      </c>
      <c r="L351" s="43">
        <v>3238</v>
      </c>
    </row>
    <row r="352" spans="1:12" s="40" customFormat="1" ht="13" x14ac:dyDescent="0.3">
      <c r="A352" s="16">
        <v>5467</v>
      </c>
      <c r="B352" s="17">
        <v>37</v>
      </c>
      <c r="C352" s="17">
        <v>10</v>
      </c>
      <c r="D352" s="17">
        <v>1</v>
      </c>
      <c r="E352" s="18" t="s">
        <v>362</v>
      </c>
      <c r="F352" s="39">
        <v>9484566.6400000006</v>
      </c>
      <c r="G352" s="39">
        <v>479405.35</v>
      </c>
      <c r="H352" s="39">
        <v>434600.5</v>
      </c>
      <c r="I352" s="39">
        <v>10398572.49</v>
      </c>
      <c r="J352" s="39">
        <v>804881.51</v>
      </c>
      <c r="K352" s="39">
        <v>11203454</v>
      </c>
      <c r="L352" s="43">
        <v>689</v>
      </c>
    </row>
    <row r="353" spans="1:12" s="40" customFormat="1" ht="13" x14ac:dyDescent="0.3">
      <c r="A353" s="16">
        <v>5474</v>
      </c>
      <c r="B353" s="17">
        <v>65</v>
      </c>
      <c r="C353" s="17">
        <v>11</v>
      </c>
      <c r="D353" s="17">
        <v>1</v>
      </c>
      <c r="E353" s="18" t="s">
        <v>363</v>
      </c>
      <c r="F353" s="39">
        <v>16647391.4</v>
      </c>
      <c r="G353" s="39">
        <v>1431121.45</v>
      </c>
      <c r="H353" s="39">
        <v>4132828.76</v>
      </c>
      <c r="I353" s="39">
        <v>22211341.609999999</v>
      </c>
      <c r="J353" s="39">
        <v>798546.76</v>
      </c>
      <c r="K353" s="39">
        <v>23009888.370000001</v>
      </c>
      <c r="L353" s="43">
        <v>1198</v>
      </c>
    </row>
    <row r="354" spans="1:12" s="40" customFormat="1" ht="13" x14ac:dyDescent="0.3">
      <c r="A354" s="16">
        <v>5586</v>
      </c>
      <c r="B354" s="17">
        <v>47</v>
      </c>
      <c r="C354" s="17">
        <v>11</v>
      </c>
      <c r="D354" s="17">
        <v>1</v>
      </c>
      <c r="E354" s="18" t="s">
        <v>364</v>
      </c>
      <c r="F354" s="39">
        <v>9673517.3100000005</v>
      </c>
      <c r="G354" s="39">
        <v>602375.44999999995</v>
      </c>
      <c r="H354" s="39">
        <v>1606750</v>
      </c>
      <c r="I354" s="39">
        <v>11882642.76</v>
      </c>
      <c r="J354" s="39">
        <v>843197.74</v>
      </c>
      <c r="K354" s="39">
        <v>12725840.5</v>
      </c>
      <c r="L354" s="43">
        <v>745</v>
      </c>
    </row>
    <row r="355" spans="1:12" s="40" customFormat="1" ht="13" x14ac:dyDescent="0.3">
      <c r="A355" s="16">
        <v>5593</v>
      </c>
      <c r="B355" s="17">
        <v>9</v>
      </c>
      <c r="C355" s="17">
        <v>10</v>
      </c>
      <c r="D355" s="17">
        <v>1</v>
      </c>
      <c r="E355" s="18" t="s">
        <v>365</v>
      </c>
      <c r="F355" s="39">
        <v>14049982.59</v>
      </c>
      <c r="G355" s="39">
        <v>1926198.97</v>
      </c>
      <c r="H355" s="39">
        <v>146049.4</v>
      </c>
      <c r="I355" s="39">
        <v>16122230.960000001</v>
      </c>
      <c r="J355" s="39">
        <v>992130.32</v>
      </c>
      <c r="K355" s="39">
        <v>17114361.280000001</v>
      </c>
      <c r="L355" s="43">
        <v>1089</v>
      </c>
    </row>
    <row r="356" spans="1:12" s="40" customFormat="1" ht="13" customHeight="1" x14ac:dyDescent="0.3">
      <c r="A356" s="16">
        <v>5607</v>
      </c>
      <c r="B356" s="17">
        <v>49</v>
      </c>
      <c r="C356" s="17">
        <v>5</v>
      </c>
      <c r="D356" s="17">
        <v>1</v>
      </c>
      <c r="E356" s="18" t="s">
        <v>366</v>
      </c>
      <c r="F356" s="39">
        <v>102166103.03</v>
      </c>
      <c r="G356" s="39">
        <v>5576946.4500000002</v>
      </c>
      <c r="H356" s="39">
        <v>13624391.83</v>
      </c>
      <c r="I356" s="39">
        <v>121367441.31</v>
      </c>
      <c r="J356" s="39">
        <v>5357214.58</v>
      </c>
      <c r="K356" s="39">
        <v>126724655.89</v>
      </c>
      <c r="L356" s="43">
        <v>7508</v>
      </c>
    </row>
    <row r="357" spans="1:12" s="40" customFormat="1" ht="13" x14ac:dyDescent="0.3">
      <c r="A357" s="16">
        <v>5614</v>
      </c>
      <c r="B357" s="17">
        <v>8</v>
      </c>
      <c r="C357" s="17">
        <v>7</v>
      </c>
      <c r="D357" s="17">
        <v>1</v>
      </c>
      <c r="E357" s="18" t="s">
        <v>367</v>
      </c>
      <c r="F357" s="39">
        <v>3573425.53</v>
      </c>
      <c r="G357" s="39">
        <v>93977.07</v>
      </c>
      <c r="H357" s="39">
        <v>38140</v>
      </c>
      <c r="I357" s="39">
        <v>3705542.6</v>
      </c>
      <c r="J357" s="39">
        <v>146628.81</v>
      </c>
      <c r="K357" s="39">
        <v>3852171.41</v>
      </c>
      <c r="L357" s="43">
        <v>256</v>
      </c>
    </row>
    <row r="358" spans="1:12" s="40" customFormat="1" ht="13" x14ac:dyDescent="0.3">
      <c r="A358" s="16">
        <v>3542</v>
      </c>
      <c r="B358" s="17">
        <v>67</v>
      </c>
      <c r="C358" s="17">
        <v>1</v>
      </c>
      <c r="D358" s="17">
        <v>3</v>
      </c>
      <c r="E358" s="18" t="s">
        <v>368</v>
      </c>
      <c r="F358" s="39">
        <v>3824077.2</v>
      </c>
      <c r="G358" s="39">
        <v>145786</v>
      </c>
      <c r="H358" s="39">
        <v>283220</v>
      </c>
      <c r="I358" s="39">
        <v>4253083.2</v>
      </c>
      <c r="J358" s="39">
        <v>212074.95</v>
      </c>
      <c r="K358" s="39">
        <v>4465158.1500000004</v>
      </c>
      <c r="L358" s="43">
        <v>271</v>
      </c>
    </row>
    <row r="359" spans="1:12" s="40" customFormat="1" ht="13" x14ac:dyDescent="0.3">
      <c r="A359" s="16">
        <v>5621</v>
      </c>
      <c r="B359" s="17">
        <v>13</v>
      </c>
      <c r="C359" s="17">
        <v>2</v>
      </c>
      <c r="D359" s="17">
        <v>1</v>
      </c>
      <c r="E359" s="18" t="s">
        <v>369</v>
      </c>
      <c r="F359" s="39">
        <v>40960654.829999998</v>
      </c>
      <c r="G359" s="39">
        <v>1456671.49</v>
      </c>
      <c r="H359" s="39">
        <v>4642299.82</v>
      </c>
      <c r="I359" s="39">
        <v>47059626.140000001</v>
      </c>
      <c r="J359" s="39">
        <v>1713692.45</v>
      </c>
      <c r="K359" s="39">
        <v>48773318.590000004</v>
      </c>
      <c r="L359" s="43">
        <v>2839</v>
      </c>
    </row>
    <row r="360" spans="1:12" s="40" customFormat="1" ht="13" x14ac:dyDescent="0.3">
      <c r="A360" s="16">
        <v>5628</v>
      </c>
      <c r="B360" s="17">
        <v>37</v>
      </c>
      <c r="C360" s="17">
        <v>9</v>
      </c>
      <c r="D360" s="17">
        <v>1</v>
      </c>
      <c r="E360" s="18" t="s">
        <v>370</v>
      </c>
      <c r="F360" s="39">
        <v>10276212.539999999</v>
      </c>
      <c r="G360" s="39">
        <v>759705.28</v>
      </c>
      <c r="H360" s="39">
        <v>2051586.3</v>
      </c>
      <c r="I360" s="39">
        <v>13087504.119999999</v>
      </c>
      <c r="J360" s="39">
        <v>381583.05</v>
      </c>
      <c r="K360" s="39">
        <v>13469087.17</v>
      </c>
      <c r="L360" s="43">
        <v>823</v>
      </c>
    </row>
    <row r="361" spans="1:12" s="40" customFormat="1" ht="13" x14ac:dyDescent="0.3">
      <c r="A361" s="16">
        <v>5642</v>
      </c>
      <c r="B361" s="17">
        <v>15</v>
      </c>
      <c r="C361" s="17">
        <v>7</v>
      </c>
      <c r="D361" s="17">
        <v>1</v>
      </c>
      <c r="E361" s="18" t="s">
        <v>371</v>
      </c>
      <c r="F361" s="39">
        <v>18616087.670000002</v>
      </c>
      <c r="G361" s="39">
        <v>538334.89</v>
      </c>
      <c r="H361" s="39">
        <v>1114034.54</v>
      </c>
      <c r="I361" s="39">
        <v>20268457.100000001</v>
      </c>
      <c r="J361" s="39">
        <v>1045444.3</v>
      </c>
      <c r="K361" s="39">
        <v>21313901.399999999</v>
      </c>
      <c r="L361" s="43">
        <v>1109</v>
      </c>
    </row>
    <row r="362" spans="1:12" s="40" customFormat="1" ht="13" x14ac:dyDescent="0.3">
      <c r="A362" s="16">
        <v>5656</v>
      </c>
      <c r="B362" s="17">
        <v>13</v>
      </c>
      <c r="C362" s="17">
        <v>2</v>
      </c>
      <c r="D362" s="17">
        <v>1</v>
      </c>
      <c r="E362" s="18" t="s">
        <v>372</v>
      </c>
      <c r="F362" s="39">
        <v>128198021.64</v>
      </c>
      <c r="G362" s="39">
        <v>5561078.4000000004</v>
      </c>
      <c r="H362" s="39">
        <v>23789011.390000001</v>
      </c>
      <c r="I362" s="39">
        <v>157548111.43000001</v>
      </c>
      <c r="J362" s="39">
        <v>6215929.6799999997</v>
      </c>
      <c r="K362" s="39">
        <v>163764041.11000001</v>
      </c>
      <c r="L362" s="43">
        <v>8538</v>
      </c>
    </row>
    <row r="363" spans="1:12" s="40" customFormat="1" ht="13" x14ac:dyDescent="0.3">
      <c r="A363" s="16">
        <v>5663</v>
      </c>
      <c r="B363" s="17">
        <v>16</v>
      </c>
      <c r="C363" s="17">
        <v>12</v>
      </c>
      <c r="D363" s="17">
        <v>1</v>
      </c>
      <c r="E363" s="18" t="s">
        <v>373</v>
      </c>
      <c r="F363" s="39">
        <v>59554232.539999999</v>
      </c>
      <c r="G363" s="39">
        <v>3831380.57</v>
      </c>
      <c r="H363" s="39">
        <v>9224210.6600000001</v>
      </c>
      <c r="I363" s="39">
        <v>72609823.769999996</v>
      </c>
      <c r="J363" s="39">
        <v>3623648.83</v>
      </c>
      <c r="K363" s="39">
        <v>76233472.599999994</v>
      </c>
      <c r="L363" s="43">
        <v>4205</v>
      </c>
    </row>
    <row r="364" spans="1:12" s="40" customFormat="1" ht="13" x14ac:dyDescent="0.3">
      <c r="A364" s="16">
        <v>5670</v>
      </c>
      <c r="B364" s="17">
        <v>42</v>
      </c>
      <c r="C364" s="17">
        <v>8</v>
      </c>
      <c r="D364" s="17">
        <v>1</v>
      </c>
      <c r="E364" s="18" t="s">
        <v>374</v>
      </c>
      <c r="F364" s="39">
        <v>6616990.6699999999</v>
      </c>
      <c r="G364" s="39">
        <v>513792.73</v>
      </c>
      <c r="H364" s="39">
        <v>159225.5</v>
      </c>
      <c r="I364" s="39">
        <v>7290008.9000000004</v>
      </c>
      <c r="J364" s="39">
        <v>494339.22</v>
      </c>
      <c r="K364" s="39">
        <v>7784348.1200000001</v>
      </c>
      <c r="L364" s="43">
        <v>370</v>
      </c>
    </row>
    <row r="365" spans="1:12" s="40" customFormat="1" ht="13" x14ac:dyDescent="0.3">
      <c r="A365" s="16">
        <v>3510</v>
      </c>
      <c r="B365" s="17">
        <v>67</v>
      </c>
      <c r="C365" s="17">
        <v>1</v>
      </c>
      <c r="D365" s="17">
        <v>3</v>
      </c>
      <c r="E365" s="18" t="s">
        <v>375</v>
      </c>
      <c r="F365" s="39">
        <v>5966489.6500000004</v>
      </c>
      <c r="G365" s="39">
        <v>211445.45</v>
      </c>
      <c r="H365" s="39">
        <v>819511</v>
      </c>
      <c r="I365" s="39">
        <v>6997446.0999999996</v>
      </c>
      <c r="J365" s="39">
        <v>188112.9</v>
      </c>
      <c r="K365" s="39">
        <v>7185559</v>
      </c>
      <c r="L365" s="43">
        <v>413</v>
      </c>
    </row>
    <row r="366" spans="1:12" s="40" customFormat="1" ht="13" x14ac:dyDescent="0.3">
      <c r="A366" s="16">
        <v>5726</v>
      </c>
      <c r="B366" s="17">
        <v>10</v>
      </c>
      <c r="C366" s="17">
        <v>10</v>
      </c>
      <c r="D366" s="17">
        <v>1</v>
      </c>
      <c r="E366" s="18" t="s">
        <v>376</v>
      </c>
      <c r="F366" s="39">
        <v>8337858.1100000003</v>
      </c>
      <c r="G366" s="39">
        <v>587523.46</v>
      </c>
      <c r="H366" s="39">
        <v>527741.82999999996</v>
      </c>
      <c r="I366" s="39">
        <v>9453123.4000000004</v>
      </c>
      <c r="J366" s="39">
        <v>412179.33</v>
      </c>
      <c r="K366" s="39">
        <v>9865302.7300000004</v>
      </c>
      <c r="L366" s="43">
        <v>571</v>
      </c>
    </row>
    <row r="367" spans="1:12" s="40" customFormat="1" ht="13" x14ac:dyDescent="0.3">
      <c r="A367" s="16">
        <v>5733</v>
      </c>
      <c r="B367" s="17">
        <v>43</v>
      </c>
      <c r="C367" s="17">
        <v>9</v>
      </c>
      <c r="D367" s="17">
        <v>1</v>
      </c>
      <c r="E367" s="18" t="s">
        <v>377</v>
      </c>
      <c r="F367" s="39">
        <v>10782732.68</v>
      </c>
      <c r="G367" s="39">
        <v>783660.6</v>
      </c>
      <c r="H367" s="39">
        <v>369429.93</v>
      </c>
      <c r="I367" s="39">
        <v>11935823.210000001</v>
      </c>
      <c r="J367" s="39">
        <v>631942.13</v>
      </c>
      <c r="K367" s="39">
        <v>12567765.34</v>
      </c>
      <c r="L367" s="43">
        <v>492</v>
      </c>
    </row>
    <row r="368" spans="1:12" s="40" customFormat="1" ht="13" x14ac:dyDescent="0.3">
      <c r="A368" s="16">
        <v>5740</v>
      </c>
      <c r="B368" s="17">
        <v>58</v>
      </c>
      <c r="C368" s="17">
        <v>8</v>
      </c>
      <c r="D368" s="17">
        <v>1</v>
      </c>
      <c r="E368" s="18" t="s">
        <v>378</v>
      </c>
      <c r="F368" s="39">
        <v>4590364.49</v>
      </c>
      <c r="G368" s="39">
        <v>345936.23</v>
      </c>
      <c r="H368" s="39">
        <v>233269.02</v>
      </c>
      <c r="I368" s="39">
        <v>5169569.74</v>
      </c>
      <c r="J368" s="39">
        <v>703662.07999999996</v>
      </c>
      <c r="K368" s="39">
        <v>5873231.8200000003</v>
      </c>
      <c r="L368" s="43">
        <v>267</v>
      </c>
    </row>
    <row r="369" spans="1:12" s="40" customFormat="1" ht="13" x14ac:dyDescent="0.3">
      <c r="A369" s="16">
        <v>5747</v>
      </c>
      <c r="B369" s="17">
        <v>41</v>
      </c>
      <c r="C369" s="17">
        <v>4</v>
      </c>
      <c r="D369" s="17">
        <v>1</v>
      </c>
      <c r="E369" s="18" t="s">
        <v>379</v>
      </c>
      <c r="F369" s="39">
        <v>40589781.240000002</v>
      </c>
      <c r="G369" s="39">
        <v>3624465.31</v>
      </c>
      <c r="H369" s="39">
        <v>2417141.9</v>
      </c>
      <c r="I369" s="39">
        <v>46631388.450000003</v>
      </c>
      <c r="J369" s="39">
        <v>2034884.78</v>
      </c>
      <c r="K369" s="39">
        <v>48666273.229999997</v>
      </c>
      <c r="L369" s="43">
        <v>3260</v>
      </c>
    </row>
    <row r="370" spans="1:12" s="40" customFormat="1" ht="13" x14ac:dyDescent="0.3">
      <c r="A370" s="16">
        <v>5754</v>
      </c>
      <c r="B370" s="17">
        <v>35</v>
      </c>
      <c r="C370" s="17">
        <v>9</v>
      </c>
      <c r="D370" s="17">
        <v>1</v>
      </c>
      <c r="E370" s="18" t="s">
        <v>380</v>
      </c>
      <c r="F370" s="39">
        <v>16971120.530000001</v>
      </c>
      <c r="G370" s="39">
        <v>1174664.08</v>
      </c>
      <c r="H370" s="39">
        <v>592646.49</v>
      </c>
      <c r="I370" s="39">
        <v>18738431.100000001</v>
      </c>
      <c r="J370" s="39">
        <v>1117723.6399999999</v>
      </c>
      <c r="K370" s="39">
        <v>19856154.739999998</v>
      </c>
      <c r="L370" s="43">
        <v>1135</v>
      </c>
    </row>
    <row r="371" spans="1:12" s="40" customFormat="1" ht="13" x14ac:dyDescent="0.3">
      <c r="A371" s="16">
        <v>126</v>
      </c>
      <c r="B371" s="17">
        <v>49</v>
      </c>
      <c r="C371" s="17">
        <v>5</v>
      </c>
      <c r="D371" s="17">
        <v>1</v>
      </c>
      <c r="E371" s="18" t="s">
        <v>381</v>
      </c>
      <c r="F371" s="39">
        <v>12883977.41</v>
      </c>
      <c r="G371" s="39">
        <v>596250.84</v>
      </c>
      <c r="H371" s="39">
        <v>2222604</v>
      </c>
      <c r="I371" s="39">
        <v>15702832.25</v>
      </c>
      <c r="J371" s="39">
        <v>716347.86</v>
      </c>
      <c r="K371" s="39">
        <v>16419180.109999999</v>
      </c>
      <c r="L371" s="43">
        <v>881</v>
      </c>
    </row>
    <row r="372" spans="1:12" s="40" customFormat="1" ht="13" x14ac:dyDescent="0.3">
      <c r="A372" s="16">
        <v>5780</v>
      </c>
      <c r="B372" s="17">
        <v>30</v>
      </c>
      <c r="C372" s="17">
        <v>2</v>
      </c>
      <c r="D372" s="17">
        <v>3</v>
      </c>
      <c r="E372" s="18" t="s">
        <v>382</v>
      </c>
      <c r="F372" s="39">
        <v>7236381.7699999996</v>
      </c>
      <c r="G372" s="39">
        <v>435853.35</v>
      </c>
      <c r="H372" s="39">
        <v>901073.17</v>
      </c>
      <c r="I372" s="39">
        <v>8573308.2899999991</v>
      </c>
      <c r="J372" s="39">
        <v>239745.88</v>
      </c>
      <c r="K372" s="39">
        <v>8813054.1699999999</v>
      </c>
      <c r="L372" s="43">
        <v>428</v>
      </c>
    </row>
    <row r="373" spans="1:12" s="40" customFormat="1" ht="13" x14ac:dyDescent="0.3">
      <c r="A373" s="16">
        <v>4375</v>
      </c>
      <c r="B373" s="17">
        <v>69</v>
      </c>
      <c r="C373" s="17">
        <v>5</v>
      </c>
      <c r="D373" s="17">
        <v>1</v>
      </c>
      <c r="E373" s="18" t="s">
        <v>383</v>
      </c>
      <c r="F373" s="39">
        <v>9087180.3699999992</v>
      </c>
      <c r="G373" s="39">
        <v>374871.87</v>
      </c>
      <c r="H373" s="39">
        <v>0</v>
      </c>
      <c r="I373" s="39">
        <v>9462052.2400000002</v>
      </c>
      <c r="J373" s="39">
        <v>601272.86</v>
      </c>
      <c r="K373" s="39">
        <v>10063325.1</v>
      </c>
      <c r="L373" s="43">
        <v>623</v>
      </c>
    </row>
    <row r="374" spans="1:12" s="40" customFormat="1" ht="13" x14ac:dyDescent="0.3">
      <c r="A374" s="16">
        <v>5810</v>
      </c>
      <c r="B374" s="17">
        <v>3</v>
      </c>
      <c r="C374" s="17">
        <v>11</v>
      </c>
      <c r="D374" s="17">
        <v>1</v>
      </c>
      <c r="E374" s="18" t="s">
        <v>384</v>
      </c>
      <c r="F374" s="39">
        <v>6660946.5</v>
      </c>
      <c r="G374" s="39">
        <v>362872.39</v>
      </c>
      <c r="H374" s="39">
        <v>50872.17</v>
      </c>
      <c r="I374" s="39">
        <v>7074691.0599999996</v>
      </c>
      <c r="J374" s="39">
        <v>504269.55</v>
      </c>
      <c r="K374" s="39">
        <v>7578960.6100000003</v>
      </c>
      <c r="L374" s="43">
        <v>449</v>
      </c>
    </row>
    <row r="375" spans="1:12" s="40" customFormat="1" ht="13" x14ac:dyDescent="0.3">
      <c r="A375" s="16">
        <v>5817</v>
      </c>
      <c r="B375" s="17">
        <v>30</v>
      </c>
      <c r="C375" s="17">
        <v>2</v>
      </c>
      <c r="D375" s="17">
        <v>3</v>
      </c>
      <c r="E375" s="18" t="s">
        <v>385</v>
      </c>
      <c r="F375" s="39">
        <v>5829486.96</v>
      </c>
      <c r="G375" s="39">
        <v>170689.55</v>
      </c>
      <c r="H375" s="39">
        <v>820915.9</v>
      </c>
      <c r="I375" s="39">
        <v>6821092.4100000001</v>
      </c>
      <c r="J375" s="39">
        <v>247899.04</v>
      </c>
      <c r="K375" s="39">
        <v>7068991.4500000002</v>
      </c>
      <c r="L375" s="43">
        <v>369</v>
      </c>
    </row>
    <row r="376" spans="1:12" s="40" customFormat="1" ht="13" x14ac:dyDescent="0.3">
      <c r="A376" s="16">
        <v>5824</v>
      </c>
      <c r="B376" s="17">
        <v>36</v>
      </c>
      <c r="C376" s="17">
        <v>7</v>
      </c>
      <c r="D376" s="17">
        <v>1</v>
      </c>
      <c r="E376" s="18" t="s">
        <v>386</v>
      </c>
      <c r="F376" s="39">
        <v>21800024.699999999</v>
      </c>
      <c r="G376" s="39">
        <v>840440.41</v>
      </c>
      <c r="H376" s="39">
        <v>2591756.66</v>
      </c>
      <c r="I376" s="39">
        <v>25232221.77</v>
      </c>
      <c r="J376" s="39">
        <v>1278281.24</v>
      </c>
      <c r="K376" s="39">
        <v>26510503.010000002</v>
      </c>
      <c r="L376" s="43">
        <v>1731</v>
      </c>
    </row>
    <row r="377" spans="1:12" s="40" customFormat="1" ht="13" x14ac:dyDescent="0.3">
      <c r="A377" s="16">
        <v>5859</v>
      </c>
      <c r="B377" s="17">
        <v>51</v>
      </c>
      <c r="C377" s="17">
        <v>2</v>
      </c>
      <c r="D377" s="17">
        <v>3</v>
      </c>
      <c r="E377" s="18" t="s">
        <v>387</v>
      </c>
      <c r="F377" s="39">
        <v>8203616.0999999996</v>
      </c>
      <c r="G377" s="39">
        <v>326471.88</v>
      </c>
      <c r="H377" s="39">
        <v>1694712.48</v>
      </c>
      <c r="I377" s="39">
        <v>10224800.460000001</v>
      </c>
      <c r="J377" s="39">
        <v>439691.83</v>
      </c>
      <c r="K377" s="39">
        <v>10664492.289999999</v>
      </c>
      <c r="L377" s="43">
        <v>610</v>
      </c>
    </row>
    <row r="378" spans="1:12" s="40" customFormat="1" ht="13" x14ac:dyDescent="0.3">
      <c r="A378" s="16">
        <v>5852</v>
      </c>
      <c r="B378" s="17">
        <v>51</v>
      </c>
      <c r="C378" s="17">
        <v>2</v>
      </c>
      <c r="D378" s="17">
        <v>2</v>
      </c>
      <c r="E378" s="18" t="s">
        <v>388</v>
      </c>
      <c r="F378" s="39">
        <v>11113750.83</v>
      </c>
      <c r="G378" s="39">
        <v>518043.86</v>
      </c>
      <c r="H378" s="39">
        <v>1667583.95</v>
      </c>
      <c r="I378" s="39">
        <v>13299378.640000001</v>
      </c>
      <c r="J378" s="39">
        <v>653590.19999999995</v>
      </c>
      <c r="K378" s="39">
        <v>13952968.84</v>
      </c>
      <c r="L378" s="43">
        <v>698</v>
      </c>
    </row>
    <row r="379" spans="1:12" s="40" customFormat="1" ht="13" x14ac:dyDescent="0.3">
      <c r="A379" s="16">
        <v>238</v>
      </c>
      <c r="B379" s="17">
        <v>48</v>
      </c>
      <c r="C379" s="17">
        <v>11</v>
      </c>
      <c r="D379" s="17">
        <v>1</v>
      </c>
      <c r="E379" s="18" t="s">
        <v>389</v>
      </c>
      <c r="F379" s="39">
        <v>13741708.1</v>
      </c>
      <c r="G379" s="39">
        <v>1182329.25</v>
      </c>
      <c r="H379" s="39">
        <v>1282817.5900000001</v>
      </c>
      <c r="I379" s="39">
        <v>16206854.939999999</v>
      </c>
      <c r="J379" s="39">
        <v>2119771.52</v>
      </c>
      <c r="K379" s="39">
        <v>18326626.460000001</v>
      </c>
      <c r="L379" s="43">
        <v>1030</v>
      </c>
    </row>
    <row r="380" spans="1:12" s="40" customFormat="1" ht="13" x14ac:dyDescent="0.3">
      <c r="A380" s="16">
        <v>5866</v>
      </c>
      <c r="B380" s="17">
        <v>36</v>
      </c>
      <c r="C380" s="17">
        <v>7</v>
      </c>
      <c r="D380" s="17">
        <v>1</v>
      </c>
      <c r="E380" s="18" t="s">
        <v>390</v>
      </c>
      <c r="F380" s="39">
        <v>13074432.300000001</v>
      </c>
      <c r="G380" s="39">
        <v>859390.9</v>
      </c>
      <c r="H380" s="39">
        <v>3750645.22</v>
      </c>
      <c r="I380" s="39">
        <v>17684468.420000002</v>
      </c>
      <c r="J380" s="39">
        <v>746939.02</v>
      </c>
      <c r="K380" s="39">
        <v>18431407.440000001</v>
      </c>
      <c r="L380" s="43">
        <v>951</v>
      </c>
    </row>
    <row r="381" spans="1:12" s="40" customFormat="1" ht="13" x14ac:dyDescent="0.3">
      <c r="A381" s="16">
        <v>5901</v>
      </c>
      <c r="B381" s="17">
        <v>13</v>
      </c>
      <c r="C381" s="17">
        <v>2</v>
      </c>
      <c r="D381" s="17">
        <v>1</v>
      </c>
      <c r="E381" s="18" t="s">
        <v>391</v>
      </c>
      <c r="F381" s="39">
        <v>96613860.090000004</v>
      </c>
      <c r="G381" s="39">
        <v>4369965.28</v>
      </c>
      <c r="H381" s="39">
        <v>13610423.060000001</v>
      </c>
      <c r="I381" s="39">
        <v>114594248.43000001</v>
      </c>
      <c r="J381" s="39">
        <v>5002735.0199999996</v>
      </c>
      <c r="K381" s="39">
        <v>119596983.45</v>
      </c>
      <c r="L381" s="43">
        <v>5793</v>
      </c>
    </row>
    <row r="382" spans="1:12" s="40" customFormat="1" ht="13" x14ac:dyDescent="0.3">
      <c r="A382" s="16">
        <v>5985</v>
      </c>
      <c r="B382" s="17">
        <v>62</v>
      </c>
      <c r="C382" s="17">
        <v>4</v>
      </c>
      <c r="D382" s="17">
        <v>1</v>
      </c>
      <c r="E382" s="18" t="s">
        <v>392</v>
      </c>
      <c r="F382" s="39">
        <v>16862369.449999999</v>
      </c>
      <c r="G382" s="39">
        <v>1256952.58</v>
      </c>
      <c r="H382" s="39">
        <v>628722.42000000004</v>
      </c>
      <c r="I382" s="39">
        <v>18748044.449999999</v>
      </c>
      <c r="J382" s="39">
        <v>1713179.71</v>
      </c>
      <c r="K382" s="39">
        <v>20461224.16</v>
      </c>
      <c r="L382" s="43">
        <v>1128</v>
      </c>
    </row>
    <row r="383" spans="1:12" s="40" customFormat="1" ht="13" x14ac:dyDescent="0.3">
      <c r="A383" s="16">
        <v>5992</v>
      </c>
      <c r="B383" s="17">
        <v>21</v>
      </c>
      <c r="C383" s="17">
        <v>8</v>
      </c>
      <c r="D383" s="17">
        <v>1</v>
      </c>
      <c r="E383" s="18" t="s">
        <v>393</v>
      </c>
      <c r="F383" s="39">
        <v>7873123.2699999996</v>
      </c>
      <c r="G383" s="39">
        <v>450251.75</v>
      </c>
      <c r="H383" s="39">
        <v>161708.56</v>
      </c>
      <c r="I383" s="39">
        <v>8485083.5800000001</v>
      </c>
      <c r="J383" s="39">
        <v>665392.19999999995</v>
      </c>
      <c r="K383" s="39">
        <v>9150475.7799999993</v>
      </c>
      <c r="L383" s="43">
        <v>405</v>
      </c>
    </row>
    <row r="384" spans="1:12" s="40" customFormat="1" ht="13" x14ac:dyDescent="0.3">
      <c r="A384" s="16">
        <v>6022</v>
      </c>
      <c r="B384" s="17">
        <v>64</v>
      </c>
      <c r="C384" s="17">
        <v>2</v>
      </c>
      <c r="D384" s="17">
        <v>3</v>
      </c>
      <c r="E384" s="18" t="s">
        <v>394</v>
      </c>
      <c r="F384" s="39">
        <v>5342593.1399999997</v>
      </c>
      <c r="G384" s="39">
        <v>176376.17</v>
      </c>
      <c r="H384" s="39">
        <v>578150</v>
      </c>
      <c r="I384" s="39">
        <v>6097119.3099999996</v>
      </c>
      <c r="J384" s="39">
        <v>370710.05</v>
      </c>
      <c r="K384" s="39">
        <v>6467829.3600000003</v>
      </c>
      <c r="L384" s="43">
        <v>396</v>
      </c>
    </row>
    <row r="385" spans="1:12" s="40" customFormat="1" ht="13" x14ac:dyDescent="0.3">
      <c r="A385" s="16">
        <v>6027</v>
      </c>
      <c r="B385" s="17">
        <v>4</v>
      </c>
      <c r="C385" s="17">
        <v>12</v>
      </c>
      <c r="D385" s="17">
        <v>1</v>
      </c>
      <c r="E385" s="18" t="s">
        <v>395</v>
      </c>
      <c r="F385" s="39">
        <v>7982377.0999999996</v>
      </c>
      <c r="G385" s="39">
        <v>542907.64</v>
      </c>
      <c r="H385" s="39">
        <v>281749.40000000002</v>
      </c>
      <c r="I385" s="39">
        <v>8807034.1400000006</v>
      </c>
      <c r="J385" s="39">
        <v>920009.44</v>
      </c>
      <c r="K385" s="39">
        <v>9727043.5800000001</v>
      </c>
      <c r="L385" s="43">
        <v>477</v>
      </c>
    </row>
    <row r="386" spans="1:12" s="40" customFormat="1" ht="13" x14ac:dyDescent="0.3">
      <c r="A386" s="16">
        <v>6069</v>
      </c>
      <c r="B386" s="17">
        <v>15</v>
      </c>
      <c r="C386" s="17">
        <v>7</v>
      </c>
      <c r="D386" s="17">
        <v>1</v>
      </c>
      <c r="E386" s="18" t="s">
        <v>396</v>
      </c>
      <c r="F386" s="39">
        <v>1863934.45</v>
      </c>
      <c r="G386" s="39">
        <v>95861.37</v>
      </c>
      <c r="H386" s="39">
        <v>12674.73</v>
      </c>
      <c r="I386" s="39">
        <v>1972470.55</v>
      </c>
      <c r="J386" s="39">
        <v>0</v>
      </c>
      <c r="K386" s="39">
        <v>1972470.55</v>
      </c>
      <c r="L386" s="43">
        <v>55</v>
      </c>
    </row>
    <row r="387" spans="1:12" s="40" customFormat="1" ht="13" x14ac:dyDescent="0.3">
      <c r="A387" s="16">
        <v>6104</v>
      </c>
      <c r="B387" s="17">
        <v>51</v>
      </c>
      <c r="C387" s="17">
        <v>2</v>
      </c>
      <c r="D387" s="17">
        <v>3</v>
      </c>
      <c r="E387" s="18" t="s">
        <v>397</v>
      </c>
      <c r="F387" s="39">
        <v>2681202.1800000002</v>
      </c>
      <c r="G387" s="39">
        <v>127061.02</v>
      </c>
      <c r="H387" s="39">
        <v>187980.59</v>
      </c>
      <c r="I387" s="39">
        <v>2996243.79</v>
      </c>
      <c r="J387" s="39">
        <v>92644.69</v>
      </c>
      <c r="K387" s="39">
        <v>3088888.48</v>
      </c>
      <c r="L387" s="43">
        <v>182</v>
      </c>
    </row>
    <row r="388" spans="1:12" s="40" customFormat="1" ht="13" x14ac:dyDescent="0.3">
      <c r="A388" s="16">
        <v>6113</v>
      </c>
      <c r="B388" s="17">
        <v>51</v>
      </c>
      <c r="C388" s="17">
        <v>2</v>
      </c>
      <c r="D388" s="17">
        <v>3</v>
      </c>
      <c r="E388" s="18" t="s">
        <v>398</v>
      </c>
      <c r="F388" s="39">
        <v>20699193.73</v>
      </c>
      <c r="G388" s="39">
        <v>1165278.1100000001</v>
      </c>
      <c r="H388" s="39">
        <v>4636255.28</v>
      </c>
      <c r="I388" s="39">
        <v>26500727.120000001</v>
      </c>
      <c r="J388" s="39">
        <v>1078003.76</v>
      </c>
      <c r="K388" s="39">
        <v>27578730.879999999</v>
      </c>
      <c r="L388" s="43">
        <v>1399</v>
      </c>
    </row>
    <row r="389" spans="1:12" s="40" customFormat="1" ht="13" x14ac:dyDescent="0.3">
      <c r="A389" s="16">
        <v>6083</v>
      </c>
      <c r="B389" s="17">
        <v>51</v>
      </c>
      <c r="C389" s="17">
        <v>2</v>
      </c>
      <c r="D389" s="17">
        <v>2</v>
      </c>
      <c r="E389" s="18" t="s">
        <v>399</v>
      </c>
      <c r="F389" s="39">
        <v>16506985.41</v>
      </c>
      <c r="G389" s="39">
        <v>556575.49</v>
      </c>
      <c r="H389" s="39">
        <v>857430.98</v>
      </c>
      <c r="I389" s="39">
        <v>17920991.879999999</v>
      </c>
      <c r="J389" s="39">
        <v>964226.26</v>
      </c>
      <c r="K389" s="39">
        <v>18885218.140000001</v>
      </c>
      <c r="L389" s="43">
        <v>901</v>
      </c>
    </row>
    <row r="390" spans="1:12" s="40" customFormat="1" ht="13" x14ac:dyDescent="0.3">
      <c r="A390" s="16">
        <v>6118</v>
      </c>
      <c r="B390" s="17">
        <v>28</v>
      </c>
      <c r="C390" s="17">
        <v>2</v>
      </c>
      <c r="D390" s="17">
        <v>1</v>
      </c>
      <c r="E390" s="18" t="s">
        <v>400</v>
      </c>
      <c r="F390" s="39">
        <v>11484091.43</v>
      </c>
      <c r="G390" s="39">
        <v>416881.57</v>
      </c>
      <c r="H390" s="39">
        <v>1376753.39</v>
      </c>
      <c r="I390" s="39">
        <v>13277726.390000001</v>
      </c>
      <c r="J390" s="39">
        <v>672717.73</v>
      </c>
      <c r="K390" s="39">
        <v>13950444.119999999</v>
      </c>
      <c r="L390" s="43">
        <v>770</v>
      </c>
    </row>
    <row r="391" spans="1:12" s="40" customFormat="1" ht="13" x14ac:dyDescent="0.3">
      <c r="A391" s="16">
        <v>6125</v>
      </c>
      <c r="B391" s="17">
        <v>28</v>
      </c>
      <c r="C391" s="17">
        <v>2</v>
      </c>
      <c r="D391" s="17">
        <v>1</v>
      </c>
      <c r="E391" s="18" t="s">
        <v>401</v>
      </c>
      <c r="F391" s="39">
        <v>56091106.609999999</v>
      </c>
      <c r="G391" s="39">
        <v>2065540.68</v>
      </c>
      <c r="H391" s="39">
        <v>6627311.0700000003</v>
      </c>
      <c r="I391" s="39">
        <v>64783958.359999999</v>
      </c>
      <c r="J391" s="39">
        <v>2466531.9900000002</v>
      </c>
      <c r="K391" s="39">
        <v>67250490.349999994</v>
      </c>
      <c r="L391" s="43">
        <v>3780</v>
      </c>
    </row>
    <row r="392" spans="1:12" s="40" customFormat="1" ht="13" x14ac:dyDescent="0.3">
      <c r="A392" s="16">
        <v>6174</v>
      </c>
      <c r="B392" s="17">
        <v>67</v>
      </c>
      <c r="C392" s="17">
        <v>1</v>
      </c>
      <c r="D392" s="17">
        <v>1</v>
      </c>
      <c r="E392" s="18" t="s">
        <v>402</v>
      </c>
      <c r="F392" s="39">
        <v>171219199.47999999</v>
      </c>
      <c r="G392" s="39">
        <v>5966761.6100000003</v>
      </c>
      <c r="H392" s="39">
        <v>12019346.710000001</v>
      </c>
      <c r="I392" s="39">
        <v>189205307.80000001</v>
      </c>
      <c r="J392" s="39">
        <v>5990027.3399999999</v>
      </c>
      <c r="K392" s="39">
        <v>195195335.13999999</v>
      </c>
      <c r="L392" s="43">
        <v>11971</v>
      </c>
    </row>
    <row r="393" spans="1:12" s="40" customFormat="1" ht="13" x14ac:dyDescent="0.3">
      <c r="A393" s="16">
        <v>6181</v>
      </c>
      <c r="B393" s="17">
        <v>13</v>
      </c>
      <c r="C393" s="17">
        <v>2</v>
      </c>
      <c r="D393" s="17">
        <v>1</v>
      </c>
      <c r="E393" s="18" t="s">
        <v>403</v>
      </c>
      <c r="F393" s="39">
        <v>65451181.289999999</v>
      </c>
      <c r="G393" s="39">
        <v>2016758.39</v>
      </c>
      <c r="H393" s="39">
        <v>14730763.699999999</v>
      </c>
      <c r="I393" s="39">
        <v>82198703.379999995</v>
      </c>
      <c r="J393" s="39">
        <v>3747284.37</v>
      </c>
      <c r="K393" s="39">
        <v>85945987.75</v>
      </c>
      <c r="L393" s="43">
        <v>4322</v>
      </c>
    </row>
    <row r="394" spans="1:12" s="40" customFormat="1" ht="13" x14ac:dyDescent="0.3">
      <c r="A394" s="16">
        <v>6195</v>
      </c>
      <c r="B394" s="17">
        <v>68</v>
      </c>
      <c r="C394" s="17">
        <v>5</v>
      </c>
      <c r="D394" s="17">
        <v>1</v>
      </c>
      <c r="E394" s="18" t="s">
        <v>404</v>
      </c>
      <c r="F394" s="39">
        <v>30032649.789999999</v>
      </c>
      <c r="G394" s="39">
        <v>1673443</v>
      </c>
      <c r="H394" s="39">
        <v>805443.03</v>
      </c>
      <c r="I394" s="39">
        <v>32511535.82</v>
      </c>
      <c r="J394" s="39">
        <v>1181320.82</v>
      </c>
      <c r="K394" s="39">
        <v>33692856.640000001</v>
      </c>
      <c r="L394" s="43">
        <v>2161</v>
      </c>
    </row>
    <row r="395" spans="1:12" s="40" customFormat="1" ht="13" x14ac:dyDescent="0.3">
      <c r="A395" s="16">
        <v>6216</v>
      </c>
      <c r="B395" s="17">
        <v>20</v>
      </c>
      <c r="C395" s="17">
        <v>6</v>
      </c>
      <c r="D395" s="17">
        <v>1</v>
      </c>
      <c r="E395" s="18" t="s">
        <v>405</v>
      </c>
      <c r="F395" s="39">
        <v>27792652.93</v>
      </c>
      <c r="G395" s="39">
        <v>1462221.53</v>
      </c>
      <c r="H395" s="39">
        <v>3947314.76</v>
      </c>
      <c r="I395" s="39">
        <v>33202189.219999999</v>
      </c>
      <c r="J395" s="39">
        <v>1330661.97</v>
      </c>
      <c r="K395" s="39">
        <v>34532851.189999998</v>
      </c>
      <c r="L395" s="43">
        <v>2130</v>
      </c>
    </row>
    <row r="396" spans="1:12" s="40" customFormat="1" ht="13" x14ac:dyDescent="0.3">
      <c r="A396" s="16">
        <v>6223</v>
      </c>
      <c r="B396" s="17">
        <v>37</v>
      </c>
      <c r="C396" s="17">
        <v>9</v>
      </c>
      <c r="D396" s="17">
        <v>1</v>
      </c>
      <c r="E396" s="18" t="s">
        <v>406</v>
      </c>
      <c r="F396" s="39">
        <v>120919616.78</v>
      </c>
      <c r="G396" s="39">
        <v>4270558.1399999997</v>
      </c>
      <c r="H396" s="39">
        <v>32048466.149999999</v>
      </c>
      <c r="I396" s="39">
        <v>157238641.06999999</v>
      </c>
      <c r="J396" s="39">
        <v>5817855.0099999998</v>
      </c>
      <c r="K396" s="39">
        <v>163056496.08000001</v>
      </c>
      <c r="L396" s="43">
        <v>8408</v>
      </c>
    </row>
    <row r="397" spans="1:12" s="40" customFormat="1" ht="13" x14ac:dyDescent="0.3">
      <c r="A397" s="16">
        <v>6230</v>
      </c>
      <c r="B397" s="17">
        <v>38</v>
      </c>
      <c r="C397" s="17">
        <v>8</v>
      </c>
      <c r="D397" s="17">
        <v>1</v>
      </c>
      <c r="E397" s="18" t="s">
        <v>407</v>
      </c>
      <c r="F397" s="39">
        <v>6672168.9400000004</v>
      </c>
      <c r="G397" s="39">
        <v>380930.41</v>
      </c>
      <c r="H397" s="39">
        <v>225239</v>
      </c>
      <c r="I397" s="39">
        <v>7278338.3499999996</v>
      </c>
      <c r="J397" s="39">
        <v>584195.06000000006</v>
      </c>
      <c r="K397" s="39">
        <v>7862533.4100000001</v>
      </c>
      <c r="L397" s="43">
        <v>418</v>
      </c>
    </row>
    <row r="398" spans="1:12" s="40" customFormat="1" ht="13" x14ac:dyDescent="0.3">
      <c r="A398" s="16">
        <v>6237</v>
      </c>
      <c r="B398" s="17">
        <v>69</v>
      </c>
      <c r="C398" s="17">
        <v>5</v>
      </c>
      <c r="D398" s="17">
        <v>1</v>
      </c>
      <c r="E398" s="18" t="s">
        <v>408</v>
      </c>
      <c r="F398" s="39">
        <v>18715005.559999999</v>
      </c>
      <c r="G398" s="39">
        <v>925638.54</v>
      </c>
      <c r="H398" s="39">
        <v>331762.5</v>
      </c>
      <c r="I398" s="39">
        <v>19972406.600000001</v>
      </c>
      <c r="J398" s="39">
        <v>1199319.99</v>
      </c>
      <c r="K398" s="39">
        <v>21171726.59</v>
      </c>
      <c r="L398" s="43">
        <v>1363</v>
      </c>
    </row>
    <row r="399" spans="1:12" s="40" customFormat="1" ht="13" x14ac:dyDescent="0.3">
      <c r="A399" s="16">
        <v>6244</v>
      </c>
      <c r="B399" s="17">
        <v>40</v>
      </c>
      <c r="C399" s="17">
        <v>1</v>
      </c>
      <c r="D399" s="17">
        <v>1</v>
      </c>
      <c r="E399" s="18" t="s">
        <v>409</v>
      </c>
      <c r="F399" s="39">
        <v>101841794.31999999</v>
      </c>
      <c r="G399" s="39">
        <v>1675634.48</v>
      </c>
      <c r="H399" s="39">
        <v>2138901.21</v>
      </c>
      <c r="I399" s="39">
        <v>105656330.01000001</v>
      </c>
      <c r="J399" s="39">
        <v>5022950.53</v>
      </c>
      <c r="K399" s="39">
        <v>110679280.54000001</v>
      </c>
      <c r="L399" s="43">
        <v>6174</v>
      </c>
    </row>
    <row r="400" spans="1:12" s="40" customFormat="1" ht="13" x14ac:dyDescent="0.3">
      <c r="A400" s="16">
        <v>6251</v>
      </c>
      <c r="B400" s="17">
        <v>12</v>
      </c>
      <c r="C400" s="17">
        <v>3</v>
      </c>
      <c r="D400" s="17">
        <v>1</v>
      </c>
      <c r="E400" s="18" t="s">
        <v>410</v>
      </c>
      <c r="F400" s="39">
        <v>4496668.21</v>
      </c>
      <c r="G400" s="39">
        <v>234045</v>
      </c>
      <c r="H400" s="39">
        <v>216546.66</v>
      </c>
      <c r="I400" s="39">
        <v>4947259.87</v>
      </c>
      <c r="J400" s="39">
        <v>252710.22</v>
      </c>
      <c r="K400" s="39">
        <v>5199970.09</v>
      </c>
      <c r="L400" s="43">
        <v>241</v>
      </c>
    </row>
    <row r="401" spans="1:12" s="40" customFormat="1" ht="13" x14ac:dyDescent="0.3">
      <c r="A401" s="16">
        <v>6293</v>
      </c>
      <c r="B401" s="17">
        <v>7</v>
      </c>
      <c r="C401" s="17">
        <v>11</v>
      </c>
      <c r="D401" s="17">
        <v>1</v>
      </c>
      <c r="E401" s="18" t="s">
        <v>411</v>
      </c>
      <c r="F401" s="39">
        <v>9904131.1699999999</v>
      </c>
      <c r="G401" s="39">
        <v>723201.04</v>
      </c>
      <c r="H401" s="39">
        <v>777694.1</v>
      </c>
      <c r="I401" s="39">
        <v>11405026.310000001</v>
      </c>
      <c r="J401" s="39">
        <v>711725.19</v>
      </c>
      <c r="K401" s="39">
        <v>12116751.5</v>
      </c>
      <c r="L401" s="43">
        <v>600</v>
      </c>
    </row>
    <row r="402" spans="1:12" s="40" customFormat="1" ht="13" x14ac:dyDescent="0.3">
      <c r="A402" s="16">
        <v>6300</v>
      </c>
      <c r="B402" s="17">
        <v>40</v>
      </c>
      <c r="C402" s="17">
        <v>1</v>
      </c>
      <c r="D402" s="17">
        <v>1</v>
      </c>
      <c r="E402" s="18" t="s">
        <v>412</v>
      </c>
      <c r="F402" s="39">
        <v>115130850.56999999</v>
      </c>
      <c r="G402" s="39">
        <v>3160386.24</v>
      </c>
      <c r="H402" s="39">
        <v>1273581.8700000001</v>
      </c>
      <c r="I402" s="39">
        <v>119564818.68000001</v>
      </c>
      <c r="J402" s="39">
        <v>12152675.83</v>
      </c>
      <c r="K402" s="39">
        <v>131717494.51000001</v>
      </c>
      <c r="L402" s="43">
        <v>8328</v>
      </c>
    </row>
    <row r="403" spans="1:12" s="40" customFormat="1" ht="13" x14ac:dyDescent="0.3">
      <c r="A403" s="16">
        <v>6307</v>
      </c>
      <c r="B403" s="17">
        <v>66</v>
      </c>
      <c r="C403" s="17">
        <v>6</v>
      </c>
      <c r="D403" s="17">
        <v>1</v>
      </c>
      <c r="E403" s="18" t="s">
        <v>413</v>
      </c>
      <c r="F403" s="39">
        <v>86883383.920000002</v>
      </c>
      <c r="G403" s="39">
        <v>3033747.84</v>
      </c>
      <c r="H403" s="39">
        <v>5445109.7999999998</v>
      </c>
      <c r="I403" s="39">
        <v>95362241.560000002</v>
      </c>
      <c r="J403" s="39">
        <v>3804951.5</v>
      </c>
      <c r="K403" s="39">
        <v>99167193.060000002</v>
      </c>
      <c r="L403" s="43">
        <v>6331</v>
      </c>
    </row>
    <row r="404" spans="1:12" s="40" customFormat="1" ht="13" x14ac:dyDescent="0.3">
      <c r="A404" s="16">
        <v>6328</v>
      </c>
      <c r="B404" s="17">
        <v>5</v>
      </c>
      <c r="C404" s="17">
        <v>7</v>
      </c>
      <c r="D404" s="17">
        <v>1</v>
      </c>
      <c r="E404" s="18" t="s">
        <v>414</v>
      </c>
      <c r="F404" s="39">
        <v>48545476.600000001</v>
      </c>
      <c r="G404" s="39">
        <v>2496787.0499999998</v>
      </c>
      <c r="H404" s="39">
        <v>9276389.7899999991</v>
      </c>
      <c r="I404" s="39">
        <v>60318653.439999998</v>
      </c>
      <c r="J404" s="39">
        <v>2704967.03</v>
      </c>
      <c r="K404" s="39">
        <v>63023620.469999999</v>
      </c>
      <c r="L404" s="43">
        <v>3983</v>
      </c>
    </row>
    <row r="405" spans="1:12" s="40" customFormat="1" ht="13" x14ac:dyDescent="0.3">
      <c r="A405" s="16">
        <v>6370</v>
      </c>
      <c r="B405" s="17">
        <v>32</v>
      </c>
      <c r="C405" s="17">
        <v>4</v>
      </c>
      <c r="D405" s="17">
        <v>1</v>
      </c>
      <c r="E405" s="18" t="s">
        <v>415</v>
      </c>
      <c r="F405" s="39">
        <v>25739299.129999999</v>
      </c>
      <c r="G405" s="39">
        <v>1505738.26</v>
      </c>
      <c r="H405" s="39">
        <v>2372501.23</v>
      </c>
      <c r="I405" s="39">
        <v>29617538.620000001</v>
      </c>
      <c r="J405" s="39">
        <v>1744786.87</v>
      </c>
      <c r="K405" s="39">
        <v>31362325.489999998</v>
      </c>
      <c r="L405" s="43">
        <v>1796</v>
      </c>
    </row>
    <row r="406" spans="1:12" s="40" customFormat="1" ht="13" x14ac:dyDescent="0.3">
      <c r="A406" s="16">
        <v>6321</v>
      </c>
      <c r="B406" s="17">
        <v>62</v>
      </c>
      <c r="C406" s="17">
        <v>4</v>
      </c>
      <c r="D406" s="17">
        <v>1</v>
      </c>
      <c r="E406" s="18" t="s">
        <v>416</v>
      </c>
      <c r="F406" s="39">
        <v>16108736.189999999</v>
      </c>
      <c r="G406" s="39">
        <v>1094269.82</v>
      </c>
      <c r="H406" s="39">
        <v>3890121.35</v>
      </c>
      <c r="I406" s="39">
        <v>21093127.359999999</v>
      </c>
      <c r="J406" s="39">
        <v>800126.88</v>
      </c>
      <c r="K406" s="39">
        <v>21893254.239999998</v>
      </c>
      <c r="L406" s="43">
        <v>1124</v>
      </c>
    </row>
    <row r="407" spans="1:12" s="40" customFormat="1" ht="13" x14ac:dyDescent="0.3">
      <c r="A407" s="16">
        <v>6335</v>
      </c>
      <c r="B407" s="17">
        <v>39</v>
      </c>
      <c r="C407" s="17">
        <v>5</v>
      </c>
      <c r="D407" s="17">
        <v>1</v>
      </c>
      <c r="E407" s="18" t="s">
        <v>417</v>
      </c>
      <c r="F407" s="39">
        <v>16602742.800000001</v>
      </c>
      <c r="G407" s="39">
        <v>836338.21</v>
      </c>
      <c r="H407" s="39">
        <v>440182</v>
      </c>
      <c r="I407" s="39">
        <v>17879263.010000002</v>
      </c>
      <c r="J407" s="39">
        <v>764400.37</v>
      </c>
      <c r="K407" s="39">
        <v>18643663.379999999</v>
      </c>
      <c r="L407" s="43">
        <v>1158</v>
      </c>
    </row>
    <row r="408" spans="1:12" s="40" customFormat="1" ht="13" x14ac:dyDescent="0.3">
      <c r="A408" s="16">
        <v>6354</v>
      </c>
      <c r="B408" s="17">
        <v>56</v>
      </c>
      <c r="C408" s="17">
        <v>3</v>
      </c>
      <c r="D408" s="17">
        <v>1</v>
      </c>
      <c r="E408" s="18" t="s">
        <v>418</v>
      </c>
      <c r="F408" s="39">
        <v>5238027.42</v>
      </c>
      <c r="G408" s="39">
        <v>240225.85</v>
      </c>
      <c r="H408" s="39">
        <v>157355</v>
      </c>
      <c r="I408" s="39">
        <v>5635608.2699999996</v>
      </c>
      <c r="J408" s="39">
        <v>271604.47999999998</v>
      </c>
      <c r="K408" s="39">
        <v>5907212.75</v>
      </c>
      <c r="L408" s="43">
        <v>262</v>
      </c>
    </row>
    <row r="409" spans="1:12" s="40" customFormat="1" ht="13" x14ac:dyDescent="0.3">
      <c r="A409" s="16">
        <v>6384</v>
      </c>
      <c r="B409" s="17">
        <v>68</v>
      </c>
      <c r="C409" s="17">
        <v>6</v>
      </c>
      <c r="D409" s="17">
        <v>1</v>
      </c>
      <c r="E409" s="18" t="s">
        <v>419</v>
      </c>
      <c r="F409" s="39">
        <v>11611517.640000001</v>
      </c>
      <c r="G409" s="39">
        <v>484201.28</v>
      </c>
      <c r="H409" s="39">
        <v>3622404.44</v>
      </c>
      <c r="I409" s="39">
        <v>15718123.359999999</v>
      </c>
      <c r="J409" s="39">
        <v>2057431.14</v>
      </c>
      <c r="K409" s="39">
        <v>17775554.5</v>
      </c>
      <c r="L409" s="43">
        <v>815</v>
      </c>
    </row>
    <row r="410" spans="1:12" s="40" customFormat="1" ht="13" x14ac:dyDescent="0.3">
      <c r="A410" s="16">
        <v>6412</v>
      </c>
      <c r="B410" s="17">
        <v>30</v>
      </c>
      <c r="C410" s="17">
        <v>2</v>
      </c>
      <c r="D410" s="17">
        <v>3</v>
      </c>
      <c r="E410" s="18" t="s">
        <v>420</v>
      </c>
      <c r="F410" s="39">
        <v>6164446.0899999999</v>
      </c>
      <c r="G410" s="39">
        <v>501893.47</v>
      </c>
      <c r="H410" s="39">
        <v>598957.5</v>
      </c>
      <c r="I410" s="39">
        <v>7265297.0599999996</v>
      </c>
      <c r="J410" s="39">
        <v>411846.03</v>
      </c>
      <c r="K410" s="39">
        <v>7677143.0899999999</v>
      </c>
      <c r="L410" s="43">
        <v>481</v>
      </c>
    </row>
    <row r="411" spans="1:12" s="40" customFormat="1" ht="13" x14ac:dyDescent="0.3">
      <c r="A411" s="16">
        <v>6440</v>
      </c>
      <c r="B411" s="17">
        <v>34</v>
      </c>
      <c r="C411" s="17">
        <v>8</v>
      </c>
      <c r="D411" s="17">
        <v>1</v>
      </c>
      <c r="E411" s="18" t="s">
        <v>421</v>
      </c>
      <c r="F411" s="39">
        <v>2974047.44</v>
      </c>
      <c r="G411" s="39">
        <v>161241.60000000001</v>
      </c>
      <c r="H411" s="39">
        <v>417457.7</v>
      </c>
      <c r="I411" s="39">
        <v>3552746.74</v>
      </c>
      <c r="J411" s="39">
        <v>141264.56</v>
      </c>
      <c r="K411" s="39">
        <v>3694011.3</v>
      </c>
      <c r="L411" s="43">
        <v>183</v>
      </c>
    </row>
    <row r="412" spans="1:12" s="40" customFormat="1" ht="13" x14ac:dyDescent="0.3">
      <c r="A412" s="16">
        <v>6419</v>
      </c>
      <c r="B412" s="17">
        <v>40</v>
      </c>
      <c r="C412" s="17">
        <v>1</v>
      </c>
      <c r="D412" s="17">
        <v>1</v>
      </c>
      <c r="E412" s="18" t="s">
        <v>422</v>
      </c>
      <c r="F412" s="39">
        <v>37729005.789999999</v>
      </c>
      <c r="G412" s="39">
        <v>270758.88</v>
      </c>
      <c r="H412" s="39">
        <v>1091675.4099999999</v>
      </c>
      <c r="I412" s="39">
        <v>39091440.079999998</v>
      </c>
      <c r="J412" s="39">
        <v>2433865.9900000002</v>
      </c>
      <c r="K412" s="39">
        <v>41525306.07</v>
      </c>
      <c r="L412" s="43">
        <v>2783</v>
      </c>
    </row>
    <row r="413" spans="1:12" s="40" customFormat="1" ht="13" x14ac:dyDescent="0.3">
      <c r="A413" s="16">
        <v>6426</v>
      </c>
      <c r="B413" s="17">
        <v>61</v>
      </c>
      <c r="C413" s="17">
        <v>4</v>
      </c>
      <c r="D413" s="17">
        <v>1</v>
      </c>
      <c r="E413" s="18" t="s">
        <v>423</v>
      </c>
      <c r="F413" s="39">
        <v>10925131.34</v>
      </c>
      <c r="G413" s="39">
        <v>748023.66</v>
      </c>
      <c r="H413" s="39">
        <v>1036476.71</v>
      </c>
      <c r="I413" s="39">
        <v>12709631.710000001</v>
      </c>
      <c r="J413" s="39">
        <v>808112</v>
      </c>
      <c r="K413" s="39">
        <v>13517743.710000001</v>
      </c>
      <c r="L413" s="43">
        <v>774</v>
      </c>
    </row>
    <row r="414" spans="1:12" s="40" customFormat="1" ht="13" x14ac:dyDescent="0.3">
      <c r="A414" s="16">
        <v>6461</v>
      </c>
      <c r="B414" s="17">
        <v>64</v>
      </c>
      <c r="C414" s="17">
        <v>2</v>
      </c>
      <c r="D414" s="17">
        <v>1</v>
      </c>
      <c r="E414" s="18" t="s">
        <v>424</v>
      </c>
      <c r="F414" s="39">
        <v>32432752.09</v>
      </c>
      <c r="G414" s="39">
        <v>1618021.12</v>
      </c>
      <c r="H414" s="39">
        <v>1495039.81</v>
      </c>
      <c r="I414" s="39">
        <v>35545813.020000003</v>
      </c>
      <c r="J414" s="39">
        <v>1659293.46</v>
      </c>
      <c r="K414" s="39">
        <v>37205106.479999997</v>
      </c>
      <c r="L414" s="43">
        <v>2156</v>
      </c>
    </row>
    <row r="415" spans="1:12" s="40" customFormat="1" ht="13" x14ac:dyDescent="0.3">
      <c r="A415" s="16">
        <v>6470</v>
      </c>
      <c r="B415" s="17">
        <v>40</v>
      </c>
      <c r="C415" s="17">
        <v>1</v>
      </c>
      <c r="D415" s="17">
        <v>1</v>
      </c>
      <c r="E415" s="18" t="s">
        <v>425</v>
      </c>
      <c r="F415" s="39">
        <v>29160578.170000002</v>
      </c>
      <c r="G415" s="39">
        <v>982923.65</v>
      </c>
      <c r="H415" s="39">
        <v>4816408.5</v>
      </c>
      <c r="I415" s="39">
        <v>34959910.32</v>
      </c>
      <c r="J415" s="39">
        <v>1532848.51</v>
      </c>
      <c r="K415" s="39">
        <v>36492758.829999998</v>
      </c>
      <c r="L415" s="43">
        <v>2154</v>
      </c>
    </row>
    <row r="416" spans="1:12" s="40" customFormat="1" ht="13" x14ac:dyDescent="0.3">
      <c r="A416" s="16">
        <v>6475</v>
      </c>
      <c r="B416" s="17">
        <v>69</v>
      </c>
      <c r="C416" s="17">
        <v>5</v>
      </c>
      <c r="D416" s="17">
        <v>1</v>
      </c>
      <c r="E416" s="18" t="s">
        <v>426</v>
      </c>
      <c r="F416" s="39">
        <v>8351575.1600000001</v>
      </c>
      <c r="G416" s="39">
        <v>502800.21</v>
      </c>
      <c r="H416" s="39">
        <v>1289100</v>
      </c>
      <c r="I416" s="39">
        <v>10143475.369999999</v>
      </c>
      <c r="J416" s="39">
        <v>377619.43</v>
      </c>
      <c r="K416" s="39">
        <v>10521094.800000001</v>
      </c>
      <c r="L416" s="43">
        <v>560</v>
      </c>
    </row>
    <row r="417" spans="1:12" s="40" customFormat="1" ht="13" x14ac:dyDescent="0.3">
      <c r="A417" s="16">
        <v>6482</v>
      </c>
      <c r="B417" s="17">
        <v>64</v>
      </c>
      <c r="C417" s="17">
        <v>2</v>
      </c>
      <c r="D417" s="17">
        <v>1</v>
      </c>
      <c r="E417" s="18" t="s">
        <v>427</v>
      </c>
      <c r="F417" s="39">
        <v>8894837.9199999999</v>
      </c>
      <c r="G417" s="39">
        <v>197788.56</v>
      </c>
      <c r="H417" s="39">
        <v>4365941.95</v>
      </c>
      <c r="I417" s="39">
        <v>13458568.43</v>
      </c>
      <c r="J417" s="39">
        <v>604331.69999999995</v>
      </c>
      <c r="K417" s="39">
        <v>14062900.130000001</v>
      </c>
      <c r="L417" s="43">
        <v>499</v>
      </c>
    </row>
    <row r="418" spans="1:12" s="40" customFormat="1" ht="13" x14ac:dyDescent="0.3">
      <c r="A418" s="16">
        <v>6545</v>
      </c>
      <c r="B418" s="17">
        <v>30</v>
      </c>
      <c r="C418" s="17">
        <v>2</v>
      </c>
      <c r="D418" s="17">
        <v>2</v>
      </c>
      <c r="E418" s="18" t="s">
        <v>428</v>
      </c>
      <c r="F418" s="39">
        <v>14080075.189999999</v>
      </c>
      <c r="G418" s="39">
        <v>530284.11</v>
      </c>
      <c r="H418" s="39">
        <v>4120525</v>
      </c>
      <c r="I418" s="39">
        <v>18730884.300000001</v>
      </c>
      <c r="J418" s="39">
        <v>674569.69</v>
      </c>
      <c r="K418" s="39">
        <v>19405453.989999998</v>
      </c>
      <c r="L418" s="43">
        <v>969</v>
      </c>
    </row>
    <row r="419" spans="1:12" s="40" customFormat="1" ht="13" x14ac:dyDescent="0.3">
      <c r="A419" s="16">
        <v>6608</v>
      </c>
      <c r="B419" s="17">
        <v>70</v>
      </c>
      <c r="C419" s="17">
        <v>6</v>
      </c>
      <c r="D419" s="17">
        <v>1</v>
      </c>
      <c r="E419" s="18" t="s">
        <v>429</v>
      </c>
      <c r="F419" s="39">
        <v>19360894.34</v>
      </c>
      <c r="G419" s="39">
        <v>1279334.92</v>
      </c>
      <c r="H419" s="39">
        <v>5507184.46</v>
      </c>
      <c r="I419" s="39">
        <v>26147413.719999999</v>
      </c>
      <c r="J419" s="39">
        <v>977627.59</v>
      </c>
      <c r="K419" s="39">
        <v>27125041.309999999</v>
      </c>
      <c r="L419" s="43">
        <v>1537</v>
      </c>
    </row>
    <row r="420" spans="1:12" s="40" customFormat="1" ht="13" x14ac:dyDescent="0.3">
      <c r="A420" s="16">
        <v>6615</v>
      </c>
      <c r="B420" s="17">
        <v>57</v>
      </c>
      <c r="C420" s="17">
        <v>12</v>
      </c>
      <c r="D420" s="17">
        <v>1</v>
      </c>
      <c r="E420" s="18" t="s">
        <v>430</v>
      </c>
      <c r="F420" s="39">
        <v>5210825.0999999996</v>
      </c>
      <c r="G420" s="39">
        <v>1092638.06</v>
      </c>
      <c r="H420" s="39">
        <v>1171905.49</v>
      </c>
      <c r="I420" s="39">
        <v>7475368.6500000004</v>
      </c>
      <c r="J420" s="39">
        <v>369569.94</v>
      </c>
      <c r="K420" s="39">
        <v>7844938.5899999999</v>
      </c>
      <c r="L420" s="43">
        <v>268</v>
      </c>
    </row>
    <row r="421" spans="1:12" s="40" customFormat="1" ht="13" x14ac:dyDescent="0.3">
      <c r="A421" s="16">
        <v>6678</v>
      </c>
      <c r="B421" s="17">
        <v>56</v>
      </c>
      <c r="C421" s="17">
        <v>5</v>
      </c>
      <c r="D421" s="17">
        <v>1</v>
      </c>
      <c r="E421" s="18" t="s">
        <v>431</v>
      </c>
      <c r="F421" s="39">
        <v>25839631.949999999</v>
      </c>
      <c r="G421" s="39">
        <v>1598279.85</v>
      </c>
      <c r="H421" s="39">
        <v>2104744.21</v>
      </c>
      <c r="I421" s="39">
        <v>29542656.010000002</v>
      </c>
      <c r="J421" s="39">
        <v>1696226.14</v>
      </c>
      <c r="K421" s="39">
        <v>31238882.149999999</v>
      </c>
      <c r="L421" s="43">
        <v>1834</v>
      </c>
    </row>
    <row r="422" spans="1:12" s="40" customFormat="1" ht="13" x14ac:dyDescent="0.3">
      <c r="A422" s="16">
        <v>469</v>
      </c>
      <c r="B422" s="17">
        <v>13</v>
      </c>
      <c r="C422" s="17">
        <v>2</v>
      </c>
      <c r="D422" s="17">
        <v>1</v>
      </c>
      <c r="E422" s="18" t="s">
        <v>432</v>
      </c>
      <c r="F422" s="39">
        <v>11628151.26</v>
      </c>
      <c r="G422" s="39">
        <v>988532.99</v>
      </c>
      <c r="H422" s="39">
        <v>2412572.5</v>
      </c>
      <c r="I422" s="39">
        <v>15029256.75</v>
      </c>
      <c r="J422" s="39">
        <v>377024.52</v>
      </c>
      <c r="K422" s="39">
        <v>15406281.27</v>
      </c>
      <c r="L422" s="43">
        <v>784</v>
      </c>
    </row>
    <row r="423" spans="1:12" s="40" customFormat="1" ht="13" x14ac:dyDescent="0.3">
      <c r="A423" s="16">
        <v>6685</v>
      </c>
      <c r="B423" s="17">
        <v>71</v>
      </c>
      <c r="C423" s="17">
        <v>5</v>
      </c>
      <c r="D423" s="17">
        <v>1</v>
      </c>
      <c r="E423" s="18" t="s">
        <v>433</v>
      </c>
      <c r="F423" s="39">
        <v>71503816.859999999</v>
      </c>
      <c r="G423" s="39">
        <v>3293696.52</v>
      </c>
      <c r="H423" s="39">
        <v>8889660</v>
      </c>
      <c r="I423" s="39">
        <v>83687173.379999995</v>
      </c>
      <c r="J423" s="39">
        <v>4714855.4400000004</v>
      </c>
      <c r="K423" s="39">
        <v>88402028.819999993</v>
      </c>
      <c r="L423" s="43">
        <v>5077</v>
      </c>
    </row>
    <row r="424" spans="1:12" s="40" customFormat="1" ht="13" x14ac:dyDescent="0.3">
      <c r="A424" s="16">
        <v>6692</v>
      </c>
      <c r="B424" s="17">
        <v>58</v>
      </c>
      <c r="C424" s="17">
        <v>8</v>
      </c>
      <c r="D424" s="17">
        <v>1</v>
      </c>
      <c r="E424" s="18" t="s">
        <v>434</v>
      </c>
      <c r="F424" s="39">
        <v>13761344.57</v>
      </c>
      <c r="G424" s="39">
        <v>629732.62</v>
      </c>
      <c r="H424" s="39">
        <v>2146087.54</v>
      </c>
      <c r="I424" s="39">
        <v>16537164.73</v>
      </c>
      <c r="J424" s="39">
        <v>1305257.78</v>
      </c>
      <c r="K424" s="39">
        <v>17842422.510000002</v>
      </c>
      <c r="L424" s="43">
        <v>1135</v>
      </c>
    </row>
    <row r="425" spans="1:12" s="40" customFormat="1" ht="13" x14ac:dyDescent="0.3">
      <c r="A425" s="16">
        <v>6713</v>
      </c>
      <c r="B425" s="17">
        <v>29</v>
      </c>
      <c r="C425" s="17">
        <v>4</v>
      </c>
      <c r="D425" s="17">
        <v>1</v>
      </c>
      <c r="E425" s="18" t="s">
        <v>435</v>
      </c>
      <c r="F425" s="39">
        <v>6052963.6600000001</v>
      </c>
      <c r="G425" s="39">
        <v>373403.35</v>
      </c>
      <c r="H425" s="39">
        <v>555933</v>
      </c>
      <c r="I425" s="39">
        <v>6982300.0099999998</v>
      </c>
      <c r="J425" s="39">
        <v>403481.26</v>
      </c>
      <c r="K425" s="39">
        <v>7385781.2699999996</v>
      </c>
      <c r="L425" s="43">
        <v>411</v>
      </c>
    </row>
    <row r="426" spans="1:12" s="40" customFormat="1" ht="13" x14ac:dyDescent="0.3">
      <c r="A426" s="16">
        <v>6720</v>
      </c>
      <c r="B426" s="17">
        <v>63</v>
      </c>
      <c r="C426" s="17">
        <v>9</v>
      </c>
      <c r="D426" s="17">
        <v>3</v>
      </c>
      <c r="E426" s="18" t="s">
        <v>436</v>
      </c>
      <c r="F426" s="39">
        <v>7147613.4699999997</v>
      </c>
      <c r="G426" s="39">
        <v>413679.58</v>
      </c>
      <c r="H426" s="39">
        <v>0</v>
      </c>
      <c r="I426" s="39">
        <v>7561293.0499999998</v>
      </c>
      <c r="J426" s="39">
        <v>323236.15000000002</v>
      </c>
      <c r="K426" s="39">
        <v>7884529.2000000002</v>
      </c>
      <c r="L426" s="43">
        <v>446</v>
      </c>
    </row>
    <row r="427" spans="1:12" s="40" customFormat="1" ht="13" x14ac:dyDescent="0.3">
      <c r="A427" s="16">
        <v>6734</v>
      </c>
      <c r="B427" s="17">
        <v>5</v>
      </c>
      <c r="C427" s="17">
        <v>7</v>
      </c>
      <c r="D427" s="17">
        <v>1</v>
      </c>
      <c r="E427" s="18" t="s">
        <v>437</v>
      </c>
      <c r="F427" s="39">
        <v>16941155.760000002</v>
      </c>
      <c r="G427" s="39">
        <v>758408.32</v>
      </c>
      <c r="H427" s="39">
        <v>2562379.7000000002</v>
      </c>
      <c r="I427" s="39">
        <v>20261943.780000001</v>
      </c>
      <c r="J427" s="39">
        <v>941164.58</v>
      </c>
      <c r="K427" s="39">
        <v>21203108.359999999</v>
      </c>
      <c r="L427" s="43">
        <v>1345</v>
      </c>
    </row>
    <row r="428" spans="1:12" s="40" customFormat="1" ht="13" x14ac:dyDescent="0.3">
      <c r="A428" s="16">
        <v>6748</v>
      </c>
      <c r="B428" s="17">
        <v>51</v>
      </c>
      <c r="C428" s="17">
        <v>2</v>
      </c>
      <c r="D428" s="17">
        <v>3</v>
      </c>
      <c r="E428" s="18" t="s">
        <v>438</v>
      </c>
      <c r="F428" s="39">
        <v>4745546.55</v>
      </c>
      <c r="G428" s="39">
        <v>347806.55</v>
      </c>
      <c r="H428" s="39">
        <v>1127324.8500000001</v>
      </c>
      <c r="I428" s="39">
        <v>6220677.9500000002</v>
      </c>
      <c r="J428" s="39">
        <v>549407.43000000005</v>
      </c>
      <c r="K428" s="39">
        <v>6770085.3799999999</v>
      </c>
      <c r="L428" s="43">
        <v>325</v>
      </c>
    </row>
    <row r="429" spans="1:12" x14ac:dyDescent="0.35">
      <c r="A429" s="16"/>
      <c r="B429" s="17"/>
      <c r="C429" s="17"/>
      <c r="D429" s="17"/>
      <c r="E429" s="17"/>
      <c r="F429" s="18"/>
      <c r="G429" s="18"/>
      <c r="H429" s="18"/>
      <c r="I429" s="18"/>
      <c r="J429" s="18"/>
      <c r="K429" s="18"/>
      <c r="L429" s="17"/>
    </row>
    <row r="430" spans="1:12" x14ac:dyDescent="0.35">
      <c r="A430" s="32"/>
      <c r="B430" s="20"/>
      <c r="C430" s="20"/>
      <c r="D430" s="20"/>
      <c r="E430" s="20" t="s">
        <v>439</v>
      </c>
      <c r="F430" s="21">
        <f t="shared" ref="F430:L430" si="0">SUM(F9:F428)</f>
        <v>12229477829.700008</v>
      </c>
      <c r="G430" s="21">
        <f t="shared" si="0"/>
        <v>576430680.2899996</v>
      </c>
      <c r="H430" s="21">
        <f t="shared" si="0"/>
        <v>1590997967.1099994</v>
      </c>
      <c r="I430" s="21">
        <f t="shared" si="0"/>
        <v>14396906477.059996</v>
      </c>
      <c r="J430" s="21">
        <f t="shared" si="0"/>
        <v>752769279.51000023</v>
      </c>
      <c r="K430" s="21">
        <f t="shared" si="0"/>
        <v>15149675756.580004</v>
      </c>
      <c r="L430" s="21">
        <f t="shared" si="0"/>
        <v>827397</v>
      </c>
    </row>
    <row r="431" spans="1:12" s="35" customFormat="1" x14ac:dyDescent="0.35">
      <c r="A431" s="33"/>
      <c r="B431" s="23"/>
      <c r="C431" s="23"/>
      <c r="D431" s="23"/>
      <c r="E431" s="23"/>
      <c r="F431" s="24"/>
      <c r="G431" s="24"/>
      <c r="H431" s="24"/>
      <c r="I431" s="24"/>
      <c r="J431" s="24"/>
      <c r="K431" s="24"/>
      <c r="L431" s="24"/>
    </row>
    <row r="432" spans="1:12" x14ac:dyDescent="0.35">
      <c r="A432" s="34" t="s">
        <v>449</v>
      </c>
      <c r="B432" s="35"/>
      <c r="C432" s="35"/>
      <c r="D432" s="35"/>
      <c r="E432" s="35"/>
      <c r="F432" s="35"/>
      <c r="G432" s="35"/>
      <c r="H432" s="35"/>
      <c r="I432" s="35"/>
      <c r="J432" s="35"/>
      <c r="K432" s="35"/>
      <c r="L432" s="35"/>
    </row>
  </sheetData>
  <pageMargins left="0.3" right="0.27" top="0.51" bottom="0.4" header="0.3" footer="0.3"/>
  <pageSetup scale="79" fitToHeight="11" orientation="landscape" r:id="rId1"/>
  <headerFooter>
    <oddFooter>&amp;C&amp;8&amp;P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F5087-6833-443E-9923-68C020BE98EA}">
  <sheetPr>
    <pageSetUpPr fitToPage="1"/>
  </sheetPr>
  <dimension ref="A1:L432"/>
  <sheetViews>
    <sheetView workbookViewId="0">
      <pane ySplit="7" topLeftCell="A8" activePane="bottomLeft" state="frozen"/>
      <selection activeCell="B1" sqref="B1"/>
      <selection pane="bottomLeft" activeCell="A450" sqref="A450"/>
    </sheetView>
  </sheetViews>
  <sheetFormatPr defaultRowHeight="14.5" x14ac:dyDescent="0.35"/>
  <cols>
    <col min="1" max="1" width="11" customWidth="1"/>
    <col min="2" max="2" width="7.54296875" bestFit="1" customWidth="1"/>
    <col min="3" max="3" width="4.81640625" bestFit="1" customWidth="1"/>
    <col min="4" max="4" width="4.7265625" bestFit="1" customWidth="1"/>
    <col min="5" max="5" width="25.7265625" bestFit="1" customWidth="1"/>
    <col min="6" max="6" width="16.7265625" bestFit="1" customWidth="1"/>
    <col min="7" max="7" width="15.54296875" bestFit="1" customWidth="1"/>
    <col min="8" max="8" width="12.453125" bestFit="1" customWidth="1"/>
    <col min="9" max="9" width="15.7265625" bestFit="1" customWidth="1"/>
    <col min="10" max="10" width="13.26953125" bestFit="1" customWidth="1"/>
    <col min="11" max="11" width="16" bestFit="1" customWidth="1"/>
    <col min="12" max="12" width="11.26953125" bestFit="1" customWidth="1"/>
  </cols>
  <sheetData>
    <row r="1" spans="1:12" x14ac:dyDescent="0.35">
      <c r="A1" s="1" t="str">
        <f>'STATE TOTALS'!A1</f>
        <v>2023-2024 School District Annual Report Data *</v>
      </c>
      <c r="B1" s="2"/>
      <c r="C1" s="2"/>
      <c r="D1" s="2"/>
      <c r="E1" s="2"/>
      <c r="F1" s="3"/>
      <c r="G1" s="3"/>
      <c r="H1" s="3"/>
      <c r="I1" s="3"/>
      <c r="J1" s="3"/>
      <c r="K1" s="3"/>
      <c r="L1" s="3"/>
    </row>
    <row r="2" spans="1:12" x14ac:dyDescent="0.35">
      <c r="A2" s="1" t="s">
        <v>453</v>
      </c>
      <c r="B2" s="2"/>
      <c r="C2" s="2"/>
      <c r="D2" s="2"/>
      <c r="E2" s="2"/>
      <c r="F2" s="3" t="s">
        <v>0</v>
      </c>
      <c r="G2" s="3"/>
      <c r="H2" s="3"/>
      <c r="I2" s="3"/>
      <c r="J2" s="3"/>
      <c r="K2" s="3"/>
      <c r="L2" s="3"/>
    </row>
    <row r="3" spans="1:12" x14ac:dyDescent="0.35">
      <c r="A3" s="1" t="s">
        <v>1</v>
      </c>
      <c r="B3" s="2"/>
      <c r="C3" s="2"/>
      <c r="D3" s="2"/>
      <c r="E3" s="45">
        <f>K430</f>
        <v>18310.044339754681</v>
      </c>
      <c r="F3" s="4"/>
      <c r="G3" s="3"/>
      <c r="H3" s="3"/>
      <c r="I3" s="3"/>
      <c r="J3" s="3"/>
      <c r="K3" s="3"/>
      <c r="L3" s="3"/>
    </row>
    <row r="4" spans="1:12" x14ac:dyDescent="0.35">
      <c r="A4" s="5" t="s">
        <v>2</v>
      </c>
      <c r="B4" s="2"/>
      <c r="C4" s="2"/>
      <c r="D4" s="2"/>
      <c r="E4" s="2"/>
      <c r="F4" s="3"/>
      <c r="G4" s="3"/>
      <c r="H4" s="3"/>
      <c r="I4" s="3"/>
      <c r="J4" s="3"/>
      <c r="K4" s="3"/>
      <c r="L4" s="3"/>
    </row>
    <row r="5" spans="1:12" x14ac:dyDescent="0.35">
      <c r="A5" s="6"/>
      <c r="B5" s="7"/>
      <c r="C5" s="7"/>
      <c r="D5" s="7"/>
      <c r="E5" s="7"/>
      <c r="F5" s="8" t="s">
        <v>3</v>
      </c>
      <c r="G5" s="8" t="s">
        <v>4</v>
      </c>
      <c r="H5" s="8" t="s">
        <v>5</v>
      </c>
      <c r="I5" s="8" t="s">
        <v>6</v>
      </c>
      <c r="J5" s="8" t="s">
        <v>7</v>
      </c>
      <c r="K5" s="8" t="s">
        <v>6</v>
      </c>
      <c r="L5" s="8" t="s">
        <v>0</v>
      </c>
    </row>
    <row r="6" spans="1:12" x14ac:dyDescent="0.35">
      <c r="A6" s="9"/>
      <c r="B6" s="10"/>
      <c r="C6" s="10"/>
      <c r="D6" s="10"/>
      <c r="E6" s="10"/>
      <c r="F6" s="8" t="s">
        <v>8</v>
      </c>
      <c r="G6" s="8" t="s">
        <v>9</v>
      </c>
      <c r="H6" s="8" t="s">
        <v>9</v>
      </c>
      <c r="I6" s="8" t="s">
        <v>8</v>
      </c>
      <c r="J6" s="8" t="s">
        <v>10</v>
      </c>
      <c r="K6" s="8" t="s">
        <v>11</v>
      </c>
      <c r="L6" s="11" t="str">
        <f>'STATE TOTALS'!L6</f>
        <v>23-24</v>
      </c>
    </row>
    <row r="7" spans="1:12" ht="15" thickBot="1" x14ac:dyDescent="0.4">
      <c r="A7" s="12" t="s">
        <v>12</v>
      </c>
      <c r="B7" s="13" t="s">
        <v>13</v>
      </c>
      <c r="C7" s="14" t="s">
        <v>14</v>
      </c>
      <c r="D7" s="14" t="s">
        <v>15</v>
      </c>
      <c r="E7" s="14" t="s">
        <v>16</v>
      </c>
      <c r="F7" s="15" t="s">
        <v>17</v>
      </c>
      <c r="G7" s="15" t="s">
        <v>18</v>
      </c>
      <c r="H7" s="15" t="s">
        <v>18</v>
      </c>
      <c r="I7" s="15" t="s">
        <v>19</v>
      </c>
      <c r="J7" s="15" t="s">
        <v>18</v>
      </c>
      <c r="K7" s="15" t="s">
        <v>20</v>
      </c>
      <c r="L7" s="15" t="s">
        <v>21</v>
      </c>
    </row>
    <row r="8" spans="1:12" x14ac:dyDescent="0.35">
      <c r="A8" s="9"/>
      <c r="B8" s="28"/>
      <c r="C8" s="10"/>
      <c r="D8" s="10"/>
      <c r="E8" s="10"/>
      <c r="F8" s="8"/>
      <c r="G8" s="8"/>
      <c r="H8" s="8"/>
      <c r="I8" s="8"/>
      <c r="J8" s="8"/>
      <c r="K8" s="8"/>
      <c r="L8" s="8"/>
    </row>
    <row r="9" spans="1:12" s="40" customFormat="1" ht="12.75" customHeight="1" x14ac:dyDescent="0.3">
      <c r="A9" s="16">
        <v>7</v>
      </c>
      <c r="B9" s="17">
        <v>10</v>
      </c>
      <c r="C9" s="17">
        <v>10</v>
      </c>
      <c r="D9" s="17">
        <v>1</v>
      </c>
      <c r="E9" s="18" t="s">
        <v>22</v>
      </c>
      <c r="F9" s="39">
        <v>11884</v>
      </c>
      <c r="G9" s="39">
        <v>476</v>
      </c>
      <c r="H9" s="39">
        <v>1608</v>
      </c>
      <c r="I9" s="39">
        <v>13968</v>
      </c>
      <c r="J9" s="39">
        <v>991</v>
      </c>
      <c r="K9" s="39">
        <v>14960</v>
      </c>
      <c r="L9" s="43">
        <v>837</v>
      </c>
    </row>
    <row r="10" spans="1:12" s="40" customFormat="1" ht="12.75" customHeight="1" x14ac:dyDescent="0.3">
      <c r="A10" s="16">
        <v>14</v>
      </c>
      <c r="B10" s="17">
        <v>1</v>
      </c>
      <c r="C10" s="17">
        <v>5</v>
      </c>
      <c r="D10" s="17">
        <v>1</v>
      </c>
      <c r="E10" s="18" t="s">
        <v>23</v>
      </c>
      <c r="F10" s="39">
        <v>15235</v>
      </c>
      <c r="G10" s="39">
        <v>810</v>
      </c>
      <c r="H10" s="39">
        <v>391</v>
      </c>
      <c r="I10" s="39">
        <v>16436</v>
      </c>
      <c r="J10" s="39">
        <v>966</v>
      </c>
      <c r="K10" s="39">
        <v>17401</v>
      </c>
      <c r="L10" s="43">
        <v>1454</v>
      </c>
    </row>
    <row r="11" spans="1:12" s="40" customFormat="1" ht="12.75" customHeight="1" x14ac:dyDescent="0.3">
      <c r="A11" s="16">
        <v>63</v>
      </c>
      <c r="B11" s="17">
        <v>23</v>
      </c>
      <c r="C11" s="17">
        <v>2</v>
      </c>
      <c r="D11" s="17">
        <v>1</v>
      </c>
      <c r="E11" s="18" t="s">
        <v>24</v>
      </c>
      <c r="F11" s="39">
        <v>15477</v>
      </c>
      <c r="G11" s="39">
        <v>728</v>
      </c>
      <c r="H11" s="39">
        <v>961</v>
      </c>
      <c r="I11" s="39">
        <v>17167</v>
      </c>
      <c r="J11" s="39">
        <v>555</v>
      </c>
      <c r="K11" s="39">
        <v>17722</v>
      </c>
      <c r="L11" s="43">
        <v>411</v>
      </c>
    </row>
    <row r="12" spans="1:12" s="40" customFormat="1" ht="12.75" customHeight="1" x14ac:dyDescent="0.3">
      <c r="A12" s="16">
        <v>70</v>
      </c>
      <c r="B12" s="17">
        <v>31</v>
      </c>
      <c r="C12" s="17">
        <v>7</v>
      </c>
      <c r="D12" s="17">
        <v>1</v>
      </c>
      <c r="E12" s="18" t="s">
        <v>25</v>
      </c>
      <c r="F12" s="39">
        <v>13349</v>
      </c>
      <c r="G12" s="39">
        <v>695</v>
      </c>
      <c r="H12" s="39">
        <v>543</v>
      </c>
      <c r="I12" s="39">
        <v>14586</v>
      </c>
      <c r="J12" s="39">
        <v>1471</v>
      </c>
      <c r="K12" s="39">
        <v>16057</v>
      </c>
      <c r="L12" s="43">
        <v>731</v>
      </c>
    </row>
    <row r="13" spans="1:12" s="40" customFormat="1" ht="12.75" customHeight="1" x14ac:dyDescent="0.3">
      <c r="A13" s="16">
        <v>84</v>
      </c>
      <c r="B13" s="17">
        <v>6</v>
      </c>
      <c r="C13" s="17">
        <v>4</v>
      </c>
      <c r="D13" s="17">
        <v>1</v>
      </c>
      <c r="E13" s="18" t="s">
        <v>26</v>
      </c>
      <c r="F13" s="39">
        <v>14889</v>
      </c>
      <c r="G13" s="39">
        <v>1840</v>
      </c>
      <c r="H13" s="39">
        <v>2665</v>
      </c>
      <c r="I13" s="39">
        <v>19395</v>
      </c>
      <c r="J13" s="39">
        <v>1301</v>
      </c>
      <c r="K13" s="39">
        <v>20696</v>
      </c>
      <c r="L13" s="43">
        <v>226</v>
      </c>
    </row>
    <row r="14" spans="1:12" s="40" customFormat="1" ht="12.75" customHeight="1" x14ac:dyDescent="0.3">
      <c r="A14" s="16">
        <v>91</v>
      </c>
      <c r="B14" s="17">
        <v>27</v>
      </c>
      <c r="C14" s="17">
        <v>4</v>
      </c>
      <c r="D14" s="17">
        <v>1</v>
      </c>
      <c r="E14" s="18" t="s">
        <v>27</v>
      </c>
      <c r="F14" s="39">
        <v>14671</v>
      </c>
      <c r="G14" s="39">
        <v>959</v>
      </c>
      <c r="H14" s="39">
        <v>2899</v>
      </c>
      <c r="I14" s="39">
        <v>18528</v>
      </c>
      <c r="J14" s="39">
        <v>1948</v>
      </c>
      <c r="K14" s="39">
        <v>20476</v>
      </c>
      <c r="L14" s="43">
        <v>527</v>
      </c>
    </row>
    <row r="15" spans="1:12" s="40" customFormat="1" ht="12.75" customHeight="1" x14ac:dyDescent="0.3">
      <c r="A15" s="16">
        <v>105</v>
      </c>
      <c r="B15" s="17">
        <v>49</v>
      </c>
      <c r="C15" s="17">
        <v>5</v>
      </c>
      <c r="D15" s="17">
        <v>1</v>
      </c>
      <c r="E15" s="18" t="s">
        <v>28</v>
      </c>
      <c r="F15" s="39">
        <v>14206</v>
      </c>
      <c r="G15" s="39">
        <v>937</v>
      </c>
      <c r="H15" s="39">
        <v>55</v>
      </c>
      <c r="I15" s="39">
        <v>15197</v>
      </c>
      <c r="J15" s="39">
        <v>695</v>
      </c>
      <c r="K15" s="39">
        <v>15892</v>
      </c>
      <c r="L15" s="43">
        <v>446</v>
      </c>
    </row>
    <row r="16" spans="1:12" s="40" customFormat="1" ht="12.75" customHeight="1" x14ac:dyDescent="0.3">
      <c r="A16" s="16">
        <v>112</v>
      </c>
      <c r="B16" s="17">
        <v>18</v>
      </c>
      <c r="C16" s="17">
        <v>10</v>
      </c>
      <c r="D16" s="17">
        <v>1</v>
      </c>
      <c r="E16" s="18" t="s">
        <v>29</v>
      </c>
      <c r="F16" s="39">
        <v>14418</v>
      </c>
      <c r="G16" s="39">
        <v>642</v>
      </c>
      <c r="H16" s="39">
        <v>2043</v>
      </c>
      <c r="I16" s="39">
        <v>17103</v>
      </c>
      <c r="J16" s="39">
        <v>851</v>
      </c>
      <c r="K16" s="39">
        <v>17954</v>
      </c>
      <c r="L16" s="43">
        <v>1649</v>
      </c>
    </row>
    <row r="17" spans="1:12" s="40" customFormat="1" ht="12.75" customHeight="1" x14ac:dyDescent="0.3">
      <c r="A17" s="16">
        <v>119</v>
      </c>
      <c r="B17" s="17">
        <v>48</v>
      </c>
      <c r="C17" s="17">
        <v>11</v>
      </c>
      <c r="D17" s="17">
        <v>1</v>
      </c>
      <c r="E17" s="18" t="s">
        <v>30</v>
      </c>
      <c r="F17" s="39">
        <v>15096</v>
      </c>
      <c r="G17" s="39">
        <v>727</v>
      </c>
      <c r="H17" s="39">
        <v>2197</v>
      </c>
      <c r="I17" s="39">
        <v>18020</v>
      </c>
      <c r="J17" s="39">
        <v>2008</v>
      </c>
      <c r="K17" s="39">
        <v>20028</v>
      </c>
      <c r="L17" s="43">
        <v>1395</v>
      </c>
    </row>
    <row r="18" spans="1:12" s="40" customFormat="1" ht="12.75" customHeight="1" x14ac:dyDescent="0.3">
      <c r="A18" s="16">
        <v>140</v>
      </c>
      <c r="B18" s="17">
        <v>34</v>
      </c>
      <c r="C18" s="17">
        <v>9</v>
      </c>
      <c r="D18" s="17">
        <v>1</v>
      </c>
      <c r="E18" s="18" t="s">
        <v>31</v>
      </c>
      <c r="F18" s="39">
        <v>13743</v>
      </c>
      <c r="G18" s="39">
        <v>632</v>
      </c>
      <c r="H18" s="39">
        <v>763</v>
      </c>
      <c r="I18" s="39">
        <v>15137</v>
      </c>
      <c r="J18" s="39">
        <v>955</v>
      </c>
      <c r="K18" s="39">
        <v>16092</v>
      </c>
      <c r="L18" s="43">
        <v>2180</v>
      </c>
    </row>
    <row r="19" spans="1:12" s="40" customFormat="1" ht="12.75" customHeight="1" x14ac:dyDescent="0.3">
      <c r="A19" s="16">
        <v>147</v>
      </c>
      <c r="B19" s="17">
        <v>44</v>
      </c>
      <c r="C19" s="17">
        <v>6</v>
      </c>
      <c r="D19" s="17">
        <v>1</v>
      </c>
      <c r="E19" s="18" t="s">
        <v>32</v>
      </c>
      <c r="F19" s="39">
        <v>14559</v>
      </c>
      <c r="G19" s="39">
        <v>509</v>
      </c>
      <c r="H19" s="39">
        <v>1151</v>
      </c>
      <c r="I19" s="39">
        <v>16219</v>
      </c>
      <c r="J19" s="39">
        <v>780</v>
      </c>
      <c r="K19" s="39">
        <v>16999</v>
      </c>
      <c r="L19" s="43">
        <v>14943</v>
      </c>
    </row>
    <row r="20" spans="1:12" s="40" customFormat="1" ht="12.75" customHeight="1" x14ac:dyDescent="0.3">
      <c r="A20" s="16">
        <v>154</v>
      </c>
      <c r="B20" s="17">
        <v>61</v>
      </c>
      <c r="C20" s="17">
        <v>4</v>
      </c>
      <c r="D20" s="17">
        <v>1</v>
      </c>
      <c r="E20" s="18" t="s">
        <v>33</v>
      </c>
      <c r="F20" s="39">
        <v>13330</v>
      </c>
      <c r="G20" s="39">
        <v>613</v>
      </c>
      <c r="H20" s="39">
        <v>1839</v>
      </c>
      <c r="I20" s="39">
        <v>15782</v>
      </c>
      <c r="J20" s="39">
        <v>2334</v>
      </c>
      <c r="K20" s="39">
        <v>18116</v>
      </c>
      <c r="L20" s="43">
        <v>1352</v>
      </c>
    </row>
    <row r="21" spans="1:12" s="40" customFormat="1" ht="12.75" customHeight="1" x14ac:dyDescent="0.3">
      <c r="A21" s="16">
        <v>161</v>
      </c>
      <c r="B21" s="17">
        <v>33</v>
      </c>
      <c r="C21" s="17">
        <v>3</v>
      </c>
      <c r="D21" s="17">
        <v>1</v>
      </c>
      <c r="E21" s="18" t="s">
        <v>34</v>
      </c>
      <c r="F21" s="39">
        <v>16228</v>
      </c>
      <c r="G21" s="39">
        <v>881</v>
      </c>
      <c r="H21" s="39">
        <v>2301</v>
      </c>
      <c r="I21" s="39">
        <v>19410</v>
      </c>
      <c r="J21" s="39">
        <v>865</v>
      </c>
      <c r="K21" s="39">
        <v>20275</v>
      </c>
      <c r="L21" s="43">
        <v>284</v>
      </c>
    </row>
    <row r="22" spans="1:12" s="40" customFormat="1" ht="12.75" customHeight="1" x14ac:dyDescent="0.3">
      <c r="A22" s="16">
        <v>2450</v>
      </c>
      <c r="B22" s="17">
        <v>67</v>
      </c>
      <c r="C22" s="17">
        <v>1</v>
      </c>
      <c r="D22" s="17">
        <v>2</v>
      </c>
      <c r="E22" s="18" t="s">
        <v>35</v>
      </c>
      <c r="F22" s="39">
        <v>14710</v>
      </c>
      <c r="G22" s="39">
        <v>675</v>
      </c>
      <c r="H22" s="39">
        <v>994</v>
      </c>
      <c r="I22" s="39">
        <v>16378</v>
      </c>
      <c r="J22" s="39">
        <v>491</v>
      </c>
      <c r="K22" s="39">
        <v>16870</v>
      </c>
      <c r="L22" s="43">
        <v>1922</v>
      </c>
    </row>
    <row r="23" spans="1:12" s="40" customFormat="1" ht="12.75" customHeight="1" x14ac:dyDescent="0.3">
      <c r="A23" s="16">
        <v>170</v>
      </c>
      <c r="B23" s="17">
        <v>2</v>
      </c>
      <c r="C23" s="17">
        <v>12</v>
      </c>
      <c r="D23" s="17">
        <v>1</v>
      </c>
      <c r="E23" s="18" t="s">
        <v>36</v>
      </c>
      <c r="F23" s="39">
        <v>14734</v>
      </c>
      <c r="G23" s="39">
        <v>1000</v>
      </c>
      <c r="H23" s="39">
        <v>2202</v>
      </c>
      <c r="I23" s="39">
        <v>17936</v>
      </c>
      <c r="J23" s="39">
        <v>627</v>
      </c>
      <c r="K23" s="39">
        <v>18562</v>
      </c>
      <c r="L23" s="43">
        <v>1974</v>
      </c>
    </row>
    <row r="24" spans="1:12" s="40" customFormat="1" ht="12.75" customHeight="1" x14ac:dyDescent="0.3">
      <c r="A24" s="16">
        <v>182</v>
      </c>
      <c r="B24" s="17">
        <v>5</v>
      </c>
      <c r="C24" s="17">
        <v>7</v>
      </c>
      <c r="D24" s="17">
        <v>1</v>
      </c>
      <c r="E24" s="18" t="s">
        <v>37</v>
      </c>
      <c r="F24" s="39">
        <v>15109</v>
      </c>
      <c r="G24" s="39">
        <v>593</v>
      </c>
      <c r="H24" s="39">
        <v>495</v>
      </c>
      <c r="I24" s="39">
        <v>16197</v>
      </c>
      <c r="J24" s="39">
        <v>1431</v>
      </c>
      <c r="K24" s="39">
        <v>17628</v>
      </c>
      <c r="L24" s="43">
        <v>2178</v>
      </c>
    </row>
    <row r="25" spans="1:12" s="40" customFormat="1" ht="12.75" customHeight="1" x14ac:dyDescent="0.3">
      <c r="A25" s="16">
        <v>196</v>
      </c>
      <c r="B25" s="17">
        <v>37</v>
      </c>
      <c r="C25" s="17">
        <v>9</v>
      </c>
      <c r="D25" s="17">
        <v>1</v>
      </c>
      <c r="E25" s="18" t="s">
        <v>38</v>
      </c>
      <c r="F25" s="39">
        <v>14351</v>
      </c>
      <c r="G25" s="39">
        <v>1380</v>
      </c>
      <c r="H25" s="39">
        <v>115</v>
      </c>
      <c r="I25" s="39">
        <v>15846</v>
      </c>
      <c r="J25" s="39">
        <v>672</v>
      </c>
      <c r="K25" s="39">
        <v>16518</v>
      </c>
      <c r="L25" s="43">
        <v>470</v>
      </c>
    </row>
    <row r="26" spans="1:12" s="40" customFormat="1" ht="12.75" customHeight="1" x14ac:dyDescent="0.3">
      <c r="A26" s="16">
        <v>203</v>
      </c>
      <c r="B26" s="17">
        <v>71</v>
      </c>
      <c r="C26" s="17">
        <v>5</v>
      </c>
      <c r="D26" s="17">
        <v>1</v>
      </c>
      <c r="E26" s="18" t="s">
        <v>39</v>
      </c>
      <c r="F26" s="39">
        <v>13715</v>
      </c>
      <c r="G26" s="39">
        <v>880</v>
      </c>
      <c r="H26" s="39">
        <v>552</v>
      </c>
      <c r="I26" s="39">
        <v>15147</v>
      </c>
      <c r="J26" s="39">
        <v>650</v>
      </c>
      <c r="K26" s="39">
        <v>15797</v>
      </c>
      <c r="L26" s="43">
        <v>784</v>
      </c>
    </row>
    <row r="27" spans="1:12" s="40" customFormat="1" ht="12.75" customHeight="1" x14ac:dyDescent="0.3">
      <c r="A27" s="16">
        <v>217</v>
      </c>
      <c r="B27" s="17">
        <v>18</v>
      </c>
      <c r="C27" s="17">
        <v>10</v>
      </c>
      <c r="D27" s="17">
        <v>1</v>
      </c>
      <c r="E27" s="18" t="s">
        <v>40</v>
      </c>
      <c r="F27" s="39">
        <v>18063</v>
      </c>
      <c r="G27" s="39">
        <v>2790</v>
      </c>
      <c r="H27" s="39">
        <v>14297</v>
      </c>
      <c r="I27" s="39">
        <v>35150</v>
      </c>
      <c r="J27" s="39">
        <v>2790</v>
      </c>
      <c r="K27" s="39">
        <v>37940</v>
      </c>
      <c r="L27" s="43">
        <v>563</v>
      </c>
    </row>
    <row r="28" spans="1:12" s="40" customFormat="1" ht="12.75" customHeight="1" x14ac:dyDescent="0.3">
      <c r="A28" s="16">
        <v>231</v>
      </c>
      <c r="B28" s="17">
        <v>55</v>
      </c>
      <c r="C28" s="17">
        <v>11</v>
      </c>
      <c r="D28" s="17">
        <v>1</v>
      </c>
      <c r="E28" s="18" t="s">
        <v>41</v>
      </c>
      <c r="F28" s="39">
        <v>13116</v>
      </c>
      <c r="G28" s="39">
        <v>631</v>
      </c>
      <c r="H28" s="39">
        <v>1660</v>
      </c>
      <c r="I28" s="39">
        <v>15407</v>
      </c>
      <c r="J28" s="39">
        <v>1152</v>
      </c>
      <c r="K28" s="39">
        <v>16558</v>
      </c>
      <c r="L28" s="43">
        <v>1646</v>
      </c>
    </row>
    <row r="29" spans="1:12" s="40" customFormat="1" ht="12.75" customHeight="1" x14ac:dyDescent="0.3">
      <c r="A29" s="16">
        <v>245</v>
      </c>
      <c r="B29" s="17">
        <v>32</v>
      </c>
      <c r="C29" s="17">
        <v>4</v>
      </c>
      <c r="D29" s="17">
        <v>1</v>
      </c>
      <c r="E29" s="18" t="s">
        <v>42</v>
      </c>
      <c r="F29" s="39">
        <v>15329</v>
      </c>
      <c r="G29" s="39">
        <v>1248</v>
      </c>
      <c r="H29" s="39">
        <v>1999</v>
      </c>
      <c r="I29" s="39">
        <v>18576</v>
      </c>
      <c r="J29" s="39">
        <v>680</v>
      </c>
      <c r="K29" s="39">
        <v>19256</v>
      </c>
      <c r="L29" s="43">
        <v>640</v>
      </c>
    </row>
    <row r="30" spans="1:12" s="40" customFormat="1" ht="12.75" customHeight="1" x14ac:dyDescent="0.3">
      <c r="A30" s="16">
        <v>280</v>
      </c>
      <c r="B30" s="17">
        <v>56</v>
      </c>
      <c r="C30" s="17">
        <v>5</v>
      </c>
      <c r="D30" s="17">
        <v>1</v>
      </c>
      <c r="E30" s="18" t="s">
        <v>43</v>
      </c>
      <c r="F30" s="39">
        <v>13487</v>
      </c>
      <c r="G30" s="39">
        <v>528</v>
      </c>
      <c r="H30" s="39">
        <v>2675</v>
      </c>
      <c r="I30" s="39">
        <v>16690</v>
      </c>
      <c r="J30" s="39">
        <v>790</v>
      </c>
      <c r="K30" s="39">
        <v>17480</v>
      </c>
      <c r="L30" s="43">
        <v>2855</v>
      </c>
    </row>
    <row r="31" spans="1:12" s="40" customFormat="1" ht="12.75" customHeight="1" x14ac:dyDescent="0.3">
      <c r="A31" s="16">
        <v>287</v>
      </c>
      <c r="B31" s="17">
        <v>25</v>
      </c>
      <c r="C31" s="17">
        <v>3</v>
      </c>
      <c r="D31" s="17">
        <v>1</v>
      </c>
      <c r="E31" s="18" t="s">
        <v>44</v>
      </c>
      <c r="F31" s="39">
        <v>15805</v>
      </c>
      <c r="G31" s="39">
        <v>454</v>
      </c>
      <c r="H31" s="39">
        <v>5712</v>
      </c>
      <c r="I31" s="39">
        <v>21971</v>
      </c>
      <c r="J31" s="39">
        <v>782</v>
      </c>
      <c r="K31" s="39">
        <v>22753</v>
      </c>
      <c r="L31" s="43">
        <v>411</v>
      </c>
    </row>
    <row r="32" spans="1:12" s="40" customFormat="1" ht="12.75" customHeight="1" x14ac:dyDescent="0.3">
      <c r="A32" s="16">
        <v>308</v>
      </c>
      <c r="B32" s="17">
        <v>3</v>
      </c>
      <c r="C32" s="17">
        <v>11</v>
      </c>
      <c r="D32" s="17">
        <v>1</v>
      </c>
      <c r="E32" s="18" t="s">
        <v>45</v>
      </c>
      <c r="F32" s="39">
        <v>15660</v>
      </c>
      <c r="G32" s="39">
        <v>806</v>
      </c>
      <c r="H32" s="39">
        <v>1262</v>
      </c>
      <c r="I32" s="39">
        <v>17728</v>
      </c>
      <c r="J32" s="39">
        <v>980</v>
      </c>
      <c r="K32" s="39">
        <v>18708</v>
      </c>
      <c r="L32" s="43">
        <v>1313</v>
      </c>
    </row>
    <row r="33" spans="1:12" s="40" customFormat="1" ht="12.75" customHeight="1" x14ac:dyDescent="0.3">
      <c r="A33" s="16">
        <v>315</v>
      </c>
      <c r="B33" s="17">
        <v>4</v>
      </c>
      <c r="C33" s="17">
        <v>12</v>
      </c>
      <c r="D33" s="17">
        <v>1</v>
      </c>
      <c r="E33" s="18" t="s">
        <v>46</v>
      </c>
      <c r="F33" s="39">
        <v>28238</v>
      </c>
      <c r="G33" s="39">
        <v>1209</v>
      </c>
      <c r="H33" s="39">
        <v>72</v>
      </c>
      <c r="I33" s="39">
        <v>29520</v>
      </c>
      <c r="J33" s="39">
        <v>1565</v>
      </c>
      <c r="K33" s="39">
        <v>31085</v>
      </c>
      <c r="L33" s="43">
        <v>456</v>
      </c>
    </row>
    <row r="34" spans="1:12" s="40" customFormat="1" ht="12.75" customHeight="1" x14ac:dyDescent="0.3">
      <c r="A34" s="16">
        <v>336</v>
      </c>
      <c r="B34" s="17">
        <v>14</v>
      </c>
      <c r="C34" s="17">
        <v>6</v>
      </c>
      <c r="D34" s="17">
        <v>1</v>
      </c>
      <c r="E34" s="18" t="s">
        <v>47</v>
      </c>
      <c r="F34" s="39">
        <v>14496</v>
      </c>
      <c r="G34" s="39">
        <v>577</v>
      </c>
      <c r="H34" s="39">
        <v>1923</v>
      </c>
      <c r="I34" s="39">
        <v>16995</v>
      </c>
      <c r="J34" s="39">
        <v>902</v>
      </c>
      <c r="K34" s="39">
        <v>17898</v>
      </c>
      <c r="L34" s="43">
        <v>3205</v>
      </c>
    </row>
    <row r="35" spans="1:12" s="40" customFormat="1" ht="12.75" customHeight="1" x14ac:dyDescent="0.3">
      <c r="A35" s="16">
        <v>4263</v>
      </c>
      <c r="B35" s="17">
        <v>38</v>
      </c>
      <c r="C35" s="17">
        <v>8</v>
      </c>
      <c r="D35" s="17">
        <v>1</v>
      </c>
      <c r="E35" s="18" t="s">
        <v>48</v>
      </c>
      <c r="F35" s="39">
        <v>18531</v>
      </c>
      <c r="G35" s="39">
        <v>690</v>
      </c>
      <c r="H35" s="39">
        <v>214</v>
      </c>
      <c r="I35" s="39">
        <v>19435</v>
      </c>
      <c r="J35" s="39">
        <v>1431</v>
      </c>
      <c r="K35" s="39">
        <v>20866</v>
      </c>
      <c r="L35" s="43">
        <v>273</v>
      </c>
    </row>
    <row r="36" spans="1:12" s="40" customFormat="1" ht="12.75" customHeight="1" x14ac:dyDescent="0.3">
      <c r="A36" s="16">
        <v>350</v>
      </c>
      <c r="B36" s="17">
        <v>13</v>
      </c>
      <c r="C36" s="17">
        <v>2</v>
      </c>
      <c r="D36" s="17">
        <v>1</v>
      </c>
      <c r="E36" s="18" t="s">
        <v>49</v>
      </c>
      <c r="F36" s="39">
        <v>13531</v>
      </c>
      <c r="G36" s="39">
        <v>366</v>
      </c>
      <c r="H36" s="39">
        <v>2290</v>
      </c>
      <c r="I36" s="39">
        <v>16187</v>
      </c>
      <c r="J36" s="39">
        <v>820</v>
      </c>
      <c r="K36" s="39">
        <v>17008</v>
      </c>
      <c r="L36" s="43">
        <v>960</v>
      </c>
    </row>
    <row r="37" spans="1:12" s="40" customFormat="1" ht="12.75" customHeight="1" x14ac:dyDescent="0.3">
      <c r="A37" s="16">
        <v>364</v>
      </c>
      <c r="B37" s="17">
        <v>33</v>
      </c>
      <c r="C37" s="17">
        <v>3</v>
      </c>
      <c r="D37" s="17">
        <v>1</v>
      </c>
      <c r="E37" s="18" t="s">
        <v>50</v>
      </c>
      <c r="F37" s="39">
        <v>15270</v>
      </c>
      <c r="G37" s="39">
        <v>522</v>
      </c>
      <c r="H37" s="39">
        <v>1766</v>
      </c>
      <c r="I37" s="39">
        <v>17558</v>
      </c>
      <c r="J37" s="39">
        <v>947</v>
      </c>
      <c r="K37" s="39">
        <v>18505</v>
      </c>
      <c r="L37" s="43">
        <v>358</v>
      </c>
    </row>
    <row r="38" spans="1:12" s="40" customFormat="1" ht="12.75" customHeight="1" x14ac:dyDescent="0.3">
      <c r="A38" s="16">
        <v>413</v>
      </c>
      <c r="B38" s="17">
        <v>53</v>
      </c>
      <c r="C38" s="17">
        <v>2</v>
      </c>
      <c r="D38" s="17">
        <v>1</v>
      </c>
      <c r="E38" s="18" t="s">
        <v>51</v>
      </c>
      <c r="F38" s="39">
        <v>15201</v>
      </c>
      <c r="G38" s="39">
        <v>426</v>
      </c>
      <c r="H38" s="39">
        <v>2794</v>
      </c>
      <c r="I38" s="39">
        <v>18422</v>
      </c>
      <c r="J38" s="39">
        <v>759</v>
      </c>
      <c r="K38" s="39">
        <v>19180</v>
      </c>
      <c r="L38" s="43">
        <v>6451</v>
      </c>
    </row>
    <row r="39" spans="1:12" s="40" customFormat="1" ht="12.75" customHeight="1" x14ac:dyDescent="0.3">
      <c r="A39" s="16">
        <v>422</v>
      </c>
      <c r="B39" s="17">
        <v>53</v>
      </c>
      <c r="C39" s="17">
        <v>2</v>
      </c>
      <c r="D39" s="17">
        <v>1</v>
      </c>
      <c r="E39" s="18" t="s">
        <v>52</v>
      </c>
      <c r="F39" s="39">
        <v>12744</v>
      </c>
      <c r="G39" s="39">
        <v>925</v>
      </c>
      <c r="H39" s="39">
        <v>1797</v>
      </c>
      <c r="I39" s="39">
        <v>15466</v>
      </c>
      <c r="J39" s="39">
        <v>799</v>
      </c>
      <c r="K39" s="39">
        <v>16264</v>
      </c>
      <c r="L39" s="43">
        <v>1293</v>
      </c>
    </row>
    <row r="40" spans="1:12" s="40" customFormat="1" ht="12.75" customHeight="1" x14ac:dyDescent="0.3">
      <c r="A40" s="16">
        <v>427</v>
      </c>
      <c r="B40" s="17">
        <v>33</v>
      </c>
      <c r="C40" s="17">
        <v>3</v>
      </c>
      <c r="D40" s="17">
        <v>1</v>
      </c>
      <c r="E40" s="18" t="s">
        <v>53</v>
      </c>
      <c r="F40" s="39">
        <v>15138</v>
      </c>
      <c r="G40" s="39">
        <v>503</v>
      </c>
      <c r="H40" s="39">
        <v>0</v>
      </c>
      <c r="I40" s="39">
        <v>15640</v>
      </c>
      <c r="J40" s="39">
        <v>1156</v>
      </c>
      <c r="K40" s="39">
        <v>16796</v>
      </c>
      <c r="L40" s="43">
        <v>254</v>
      </c>
    </row>
    <row r="41" spans="1:12" s="40" customFormat="1" ht="12.75" customHeight="1" x14ac:dyDescent="0.3">
      <c r="A41" s="16">
        <v>434</v>
      </c>
      <c r="B41" s="17">
        <v>24</v>
      </c>
      <c r="C41" s="17">
        <v>6</v>
      </c>
      <c r="D41" s="17">
        <v>1</v>
      </c>
      <c r="E41" s="18" t="s">
        <v>54</v>
      </c>
      <c r="F41" s="39">
        <v>14226</v>
      </c>
      <c r="G41" s="39">
        <v>733</v>
      </c>
      <c r="H41" s="39">
        <v>1791</v>
      </c>
      <c r="I41" s="39">
        <v>16749</v>
      </c>
      <c r="J41" s="39">
        <v>563</v>
      </c>
      <c r="K41" s="39">
        <v>17312</v>
      </c>
      <c r="L41" s="43">
        <v>1474</v>
      </c>
    </row>
    <row r="42" spans="1:12" s="40" customFormat="1" ht="12.75" customHeight="1" x14ac:dyDescent="0.3">
      <c r="A42" s="16">
        <v>6013</v>
      </c>
      <c r="B42" s="17">
        <v>64</v>
      </c>
      <c r="C42" s="17">
        <v>2</v>
      </c>
      <c r="D42" s="17">
        <v>2</v>
      </c>
      <c r="E42" s="18" t="s">
        <v>55</v>
      </c>
      <c r="F42" s="39">
        <v>18078</v>
      </c>
      <c r="G42" s="39">
        <v>926</v>
      </c>
      <c r="H42" s="39">
        <v>4177</v>
      </c>
      <c r="I42" s="39">
        <v>23181</v>
      </c>
      <c r="J42" s="39">
        <v>3676</v>
      </c>
      <c r="K42" s="39">
        <v>26857</v>
      </c>
      <c r="L42" s="43">
        <v>450</v>
      </c>
    </row>
    <row r="43" spans="1:12" s="40" customFormat="1" ht="12.75" customHeight="1" x14ac:dyDescent="0.3">
      <c r="A43" s="16">
        <v>441</v>
      </c>
      <c r="B43" s="17">
        <v>65</v>
      </c>
      <c r="C43" s="17">
        <v>11</v>
      </c>
      <c r="D43" s="17">
        <v>1</v>
      </c>
      <c r="E43" s="18" t="s">
        <v>56</v>
      </c>
      <c r="F43" s="39">
        <v>23575</v>
      </c>
      <c r="G43" s="39">
        <v>1768</v>
      </c>
      <c r="H43" s="39">
        <v>3892</v>
      </c>
      <c r="I43" s="39">
        <v>29236</v>
      </c>
      <c r="J43" s="39">
        <v>2217</v>
      </c>
      <c r="K43" s="39">
        <v>31453</v>
      </c>
      <c r="L43" s="43">
        <v>183</v>
      </c>
    </row>
    <row r="44" spans="1:12" s="40" customFormat="1" ht="12.75" customHeight="1" x14ac:dyDescent="0.3">
      <c r="A44" s="16">
        <v>2240</v>
      </c>
      <c r="B44" s="17">
        <v>33</v>
      </c>
      <c r="C44" s="17">
        <v>3</v>
      </c>
      <c r="D44" s="17">
        <v>1</v>
      </c>
      <c r="E44" s="18" t="s">
        <v>57</v>
      </c>
      <c r="F44" s="39">
        <v>14587</v>
      </c>
      <c r="G44" s="39">
        <v>587</v>
      </c>
      <c r="H44" s="39">
        <v>1603</v>
      </c>
      <c r="I44" s="39">
        <v>16777</v>
      </c>
      <c r="J44" s="39">
        <v>647</v>
      </c>
      <c r="K44" s="39">
        <v>17424</v>
      </c>
      <c r="L44" s="43">
        <v>377</v>
      </c>
    </row>
    <row r="45" spans="1:12" s="40" customFormat="1" ht="12.75" customHeight="1" x14ac:dyDescent="0.3">
      <c r="A45" s="16">
        <v>476</v>
      </c>
      <c r="B45" s="17">
        <v>27</v>
      </c>
      <c r="C45" s="17">
        <v>4</v>
      </c>
      <c r="D45" s="17">
        <v>1</v>
      </c>
      <c r="E45" s="18" t="s">
        <v>58</v>
      </c>
      <c r="F45" s="39">
        <v>14739</v>
      </c>
      <c r="G45" s="39">
        <v>836</v>
      </c>
      <c r="H45" s="39">
        <v>1715</v>
      </c>
      <c r="I45" s="39">
        <v>17290</v>
      </c>
      <c r="J45" s="39">
        <v>923</v>
      </c>
      <c r="K45" s="39">
        <v>18213</v>
      </c>
      <c r="L45" s="43">
        <v>1723</v>
      </c>
    </row>
    <row r="46" spans="1:12" s="40" customFormat="1" ht="12.75" customHeight="1" x14ac:dyDescent="0.3">
      <c r="A46" s="16">
        <v>485</v>
      </c>
      <c r="B46" s="17">
        <v>61</v>
      </c>
      <c r="C46" s="17">
        <v>4</v>
      </c>
      <c r="D46" s="17">
        <v>1</v>
      </c>
      <c r="E46" s="18" t="s">
        <v>59</v>
      </c>
      <c r="F46" s="39">
        <v>14990</v>
      </c>
      <c r="G46" s="39">
        <v>811</v>
      </c>
      <c r="H46" s="39">
        <v>2476</v>
      </c>
      <c r="I46" s="39">
        <v>18277</v>
      </c>
      <c r="J46" s="39">
        <v>1830</v>
      </c>
      <c r="K46" s="39">
        <v>20107</v>
      </c>
      <c r="L46" s="43">
        <v>657</v>
      </c>
    </row>
    <row r="47" spans="1:12" s="40" customFormat="1" ht="12.75" customHeight="1" x14ac:dyDescent="0.3">
      <c r="A47" s="16">
        <v>497</v>
      </c>
      <c r="B47" s="17">
        <v>9</v>
      </c>
      <c r="C47" s="17">
        <v>10</v>
      </c>
      <c r="D47" s="17">
        <v>1</v>
      </c>
      <c r="E47" s="18" t="s">
        <v>60</v>
      </c>
      <c r="F47" s="39">
        <v>12884</v>
      </c>
      <c r="G47" s="39">
        <v>932</v>
      </c>
      <c r="H47" s="39">
        <v>2426</v>
      </c>
      <c r="I47" s="39">
        <v>16242</v>
      </c>
      <c r="J47" s="39">
        <v>679</v>
      </c>
      <c r="K47" s="39">
        <v>16921</v>
      </c>
      <c r="L47" s="43">
        <v>1234</v>
      </c>
    </row>
    <row r="48" spans="1:12" s="40" customFormat="1" ht="12.75" customHeight="1" x14ac:dyDescent="0.3">
      <c r="A48" s="16">
        <v>602</v>
      </c>
      <c r="B48" s="17">
        <v>58</v>
      </c>
      <c r="C48" s="17">
        <v>8</v>
      </c>
      <c r="D48" s="17">
        <v>1</v>
      </c>
      <c r="E48" s="18" t="s">
        <v>61</v>
      </c>
      <c r="F48" s="39">
        <v>15814</v>
      </c>
      <c r="G48" s="39">
        <v>817</v>
      </c>
      <c r="H48" s="39">
        <v>1221</v>
      </c>
      <c r="I48" s="39">
        <v>17852</v>
      </c>
      <c r="J48" s="39">
        <v>1020</v>
      </c>
      <c r="K48" s="39">
        <v>18872</v>
      </c>
      <c r="L48" s="43">
        <v>772</v>
      </c>
    </row>
    <row r="49" spans="1:12" s="40" customFormat="1" ht="12.75" customHeight="1" x14ac:dyDescent="0.3">
      <c r="A49" s="16">
        <v>609</v>
      </c>
      <c r="B49" s="17">
        <v>22</v>
      </c>
      <c r="C49" s="17">
        <v>3</v>
      </c>
      <c r="D49" s="17">
        <v>1</v>
      </c>
      <c r="E49" s="18" t="s">
        <v>62</v>
      </c>
      <c r="F49" s="39">
        <v>15324</v>
      </c>
      <c r="G49" s="39">
        <v>818</v>
      </c>
      <c r="H49" s="39">
        <v>284</v>
      </c>
      <c r="I49" s="39">
        <v>16426</v>
      </c>
      <c r="J49" s="39">
        <v>642</v>
      </c>
      <c r="K49" s="39">
        <v>17067</v>
      </c>
      <c r="L49" s="43">
        <v>745</v>
      </c>
    </row>
    <row r="50" spans="1:12" s="40" customFormat="1" ht="12.75" customHeight="1" x14ac:dyDescent="0.3">
      <c r="A50" s="16">
        <v>623</v>
      </c>
      <c r="B50" s="17">
        <v>58</v>
      </c>
      <c r="C50" s="17">
        <v>8</v>
      </c>
      <c r="D50" s="17">
        <v>1</v>
      </c>
      <c r="E50" s="18" t="s">
        <v>63</v>
      </c>
      <c r="F50" s="39">
        <v>19318</v>
      </c>
      <c r="G50" s="39">
        <v>1017</v>
      </c>
      <c r="H50" s="39">
        <v>892</v>
      </c>
      <c r="I50" s="39">
        <v>21226</v>
      </c>
      <c r="J50" s="39">
        <v>1316</v>
      </c>
      <c r="K50" s="39">
        <v>22542</v>
      </c>
      <c r="L50" s="43">
        <v>399</v>
      </c>
    </row>
    <row r="51" spans="1:12" s="40" customFormat="1" ht="12.75" customHeight="1" x14ac:dyDescent="0.3">
      <c r="A51" s="16">
        <v>637</v>
      </c>
      <c r="B51" s="17">
        <v>17</v>
      </c>
      <c r="C51" s="17">
        <v>11</v>
      </c>
      <c r="D51" s="17">
        <v>1</v>
      </c>
      <c r="E51" s="18" t="s">
        <v>64</v>
      </c>
      <c r="F51" s="39">
        <v>13566</v>
      </c>
      <c r="G51" s="39">
        <v>1075</v>
      </c>
      <c r="H51" s="39">
        <v>2001</v>
      </c>
      <c r="I51" s="39">
        <v>16642</v>
      </c>
      <c r="J51" s="39">
        <v>869</v>
      </c>
      <c r="K51" s="39">
        <v>17511</v>
      </c>
      <c r="L51" s="43">
        <v>708</v>
      </c>
    </row>
    <row r="52" spans="1:12" s="40" customFormat="1" ht="12.75" customHeight="1" x14ac:dyDescent="0.3">
      <c r="A52" s="16">
        <v>657</v>
      </c>
      <c r="B52" s="17">
        <v>30</v>
      </c>
      <c r="C52" s="17">
        <v>2</v>
      </c>
      <c r="D52" s="17">
        <v>3</v>
      </c>
      <c r="E52" s="18" t="s">
        <v>65</v>
      </c>
      <c r="F52" s="39">
        <v>14221</v>
      </c>
      <c r="G52" s="39">
        <v>887</v>
      </c>
      <c r="H52" s="39">
        <v>0</v>
      </c>
      <c r="I52" s="39">
        <v>15109</v>
      </c>
      <c r="J52" s="39">
        <v>708</v>
      </c>
      <c r="K52" s="39">
        <v>15817</v>
      </c>
      <c r="L52" s="43">
        <v>137</v>
      </c>
    </row>
    <row r="53" spans="1:12" s="40" customFormat="1" ht="12.75" customHeight="1" x14ac:dyDescent="0.3">
      <c r="A53" s="16">
        <v>658</v>
      </c>
      <c r="B53" s="17">
        <v>8</v>
      </c>
      <c r="C53" s="17">
        <v>7</v>
      </c>
      <c r="D53" s="17">
        <v>1</v>
      </c>
      <c r="E53" s="18" t="s">
        <v>66</v>
      </c>
      <c r="F53" s="39">
        <v>12772</v>
      </c>
      <c r="G53" s="39">
        <v>578</v>
      </c>
      <c r="H53" s="39">
        <v>1957</v>
      </c>
      <c r="I53" s="39">
        <v>15307</v>
      </c>
      <c r="J53" s="39">
        <v>1006</v>
      </c>
      <c r="K53" s="39">
        <v>16313</v>
      </c>
      <c r="L53" s="43">
        <v>905</v>
      </c>
    </row>
    <row r="54" spans="1:12" s="40" customFormat="1" ht="12.75" customHeight="1" x14ac:dyDescent="0.3">
      <c r="A54" s="16">
        <v>665</v>
      </c>
      <c r="B54" s="17">
        <v>30</v>
      </c>
      <c r="C54" s="17">
        <v>2</v>
      </c>
      <c r="D54" s="17">
        <v>3</v>
      </c>
      <c r="E54" s="18" t="s">
        <v>67</v>
      </c>
      <c r="F54" s="39">
        <v>13284</v>
      </c>
      <c r="G54" s="39">
        <v>587</v>
      </c>
      <c r="H54" s="39">
        <v>2671</v>
      </c>
      <c r="I54" s="39">
        <v>16542</v>
      </c>
      <c r="J54" s="39">
        <v>484</v>
      </c>
      <c r="K54" s="39">
        <v>17026</v>
      </c>
      <c r="L54" s="43">
        <v>710</v>
      </c>
    </row>
    <row r="55" spans="1:12" s="40" customFormat="1" ht="12.75" customHeight="1" x14ac:dyDescent="0.3">
      <c r="A55" s="16">
        <v>700</v>
      </c>
      <c r="B55" s="17">
        <v>23</v>
      </c>
      <c r="C55" s="17">
        <v>2</v>
      </c>
      <c r="D55" s="17">
        <v>1</v>
      </c>
      <c r="E55" s="18" t="s">
        <v>68</v>
      </c>
      <c r="F55" s="39">
        <v>13808</v>
      </c>
      <c r="G55" s="39">
        <v>575</v>
      </c>
      <c r="H55" s="39">
        <v>823</v>
      </c>
      <c r="I55" s="39">
        <v>15206</v>
      </c>
      <c r="J55" s="39">
        <v>750</v>
      </c>
      <c r="K55" s="39">
        <v>15956</v>
      </c>
      <c r="L55" s="43">
        <v>1031</v>
      </c>
    </row>
    <row r="56" spans="1:12" s="40" customFormat="1" ht="12.75" customHeight="1" x14ac:dyDescent="0.3">
      <c r="A56" s="16">
        <v>721</v>
      </c>
      <c r="B56" s="17">
        <v>40</v>
      </c>
      <c r="C56" s="17">
        <v>1</v>
      </c>
      <c r="D56" s="17">
        <v>1</v>
      </c>
      <c r="E56" s="18" t="s">
        <v>69</v>
      </c>
      <c r="F56" s="39">
        <v>14077</v>
      </c>
      <c r="G56" s="39">
        <v>557</v>
      </c>
      <c r="H56" s="39">
        <v>1563</v>
      </c>
      <c r="I56" s="39">
        <v>16197</v>
      </c>
      <c r="J56" s="39">
        <v>719</v>
      </c>
      <c r="K56" s="39">
        <v>16917</v>
      </c>
      <c r="L56" s="43">
        <v>1874</v>
      </c>
    </row>
    <row r="57" spans="1:12" s="40" customFormat="1" ht="12.75" customHeight="1" x14ac:dyDescent="0.3">
      <c r="A57" s="16">
        <v>735</v>
      </c>
      <c r="B57" s="17">
        <v>54</v>
      </c>
      <c r="C57" s="17">
        <v>10</v>
      </c>
      <c r="D57" s="17">
        <v>1</v>
      </c>
      <c r="E57" s="18" t="s">
        <v>70</v>
      </c>
      <c r="F57" s="39">
        <v>16689</v>
      </c>
      <c r="G57" s="39">
        <v>1083</v>
      </c>
      <c r="H57" s="39">
        <v>143</v>
      </c>
      <c r="I57" s="39">
        <v>17915</v>
      </c>
      <c r="J57" s="39">
        <v>901</v>
      </c>
      <c r="K57" s="39">
        <v>18816</v>
      </c>
      <c r="L57" s="43">
        <v>478</v>
      </c>
    </row>
    <row r="58" spans="1:12" s="40" customFormat="1" ht="12.75" customHeight="1" x14ac:dyDescent="0.3">
      <c r="A58" s="16">
        <v>777</v>
      </c>
      <c r="B58" s="17">
        <v>51</v>
      </c>
      <c r="C58" s="17">
        <v>2</v>
      </c>
      <c r="D58" s="17">
        <v>1</v>
      </c>
      <c r="E58" s="18" t="s">
        <v>71</v>
      </c>
      <c r="F58" s="39">
        <v>13931</v>
      </c>
      <c r="G58" s="39">
        <v>779</v>
      </c>
      <c r="H58" s="39">
        <v>2217</v>
      </c>
      <c r="I58" s="39">
        <v>16927</v>
      </c>
      <c r="J58" s="39">
        <v>582</v>
      </c>
      <c r="K58" s="39">
        <v>17509</v>
      </c>
      <c r="L58" s="43">
        <v>3299</v>
      </c>
    </row>
    <row r="59" spans="1:12" s="40" customFormat="1" ht="12.75" customHeight="1" x14ac:dyDescent="0.3">
      <c r="A59" s="16">
        <v>840</v>
      </c>
      <c r="B59" s="17">
        <v>2</v>
      </c>
      <c r="C59" s="17">
        <v>12</v>
      </c>
      <c r="D59" s="17">
        <v>1</v>
      </c>
      <c r="E59" s="18" t="s">
        <v>72</v>
      </c>
      <c r="F59" s="39">
        <v>23104</v>
      </c>
      <c r="G59" s="39">
        <v>1225</v>
      </c>
      <c r="H59" s="39">
        <v>0</v>
      </c>
      <c r="I59" s="39">
        <v>24330</v>
      </c>
      <c r="J59" s="39">
        <v>1348</v>
      </c>
      <c r="K59" s="39">
        <v>25677</v>
      </c>
      <c r="L59" s="43">
        <v>137</v>
      </c>
    </row>
    <row r="60" spans="1:12" s="40" customFormat="1" ht="12.75" customHeight="1" x14ac:dyDescent="0.3">
      <c r="A60" s="16">
        <v>870</v>
      </c>
      <c r="B60" s="17">
        <v>9</v>
      </c>
      <c r="C60" s="17">
        <v>10</v>
      </c>
      <c r="D60" s="17">
        <v>1</v>
      </c>
      <c r="E60" s="18" t="s">
        <v>73</v>
      </c>
      <c r="F60" s="39">
        <v>15402</v>
      </c>
      <c r="G60" s="39">
        <v>990</v>
      </c>
      <c r="H60" s="39">
        <v>1576</v>
      </c>
      <c r="I60" s="39">
        <v>17968</v>
      </c>
      <c r="J60" s="39">
        <v>780</v>
      </c>
      <c r="K60" s="39">
        <v>18749</v>
      </c>
      <c r="L60" s="43">
        <v>845</v>
      </c>
    </row>
    <row r="61" spans="1:12" s="40" customFormat="1" ht="12.75" customHeight="1" x14ac:dyDescent="0.3">
      <c r="A61" s="16">
        <v>882</v>
      </c>
      <c r="B61" s="17">
        <v>11</v>
      </c>
      <c r="C61" s="17">
        <v>5</v>
      </c>
      <c r="D61" s="17">
        <v>1</v>
      </c>
      <c r="E61" s="18" t="s">
        <v>74</v>
      </c>
      <c r="F61" s="39">
        <v>18565</v>
      </c>
      <c r="G61" s="39">
        <v>796</v>
      </c>
      <c r="H61" s="39">
        <v>1063</v>
      </c>
      <c r="I61" s="39">
        <v>20424</v>
      </c>
      <c r="J61" s="39">
        <v>1549</v>
      </c>
      <c r="K61" s="39">
        <v>21973</v>
      </c>
      <c r="L61" s="43">
        <v>366</v>
      </c>
    </row>
    <row r="62" spans="1:12" s="40" customFormat="1" ht="12.75" customHeight="1" x14ac:dyDescent="0.3">
      <c r="A62" s="16">
        <v>896</v>
      </c>
      <c r="B62" s="17">
        <v>13</v>
      </c>
      <c r="C62" s="17">
        <v>2</v>
      </c>
      <c r="D62" s="17">
        <v>1</v>
      </c>
      <c r="E62" s="18" t="s">
        <v>75</v>
      </c>
      <c r="F62" s="39">
        <v>15112</v>
      </c>
      <c r="G62" s="39">
        <v>1002</v>
      </c>
      <c r="H62" s="39">
        <v>1487</v>
      </c>
      <c r="I62" s="39">
        <v>17601</v>
      </c>
      <c r="J62" s="39">
        <v>1227</v>
      </c>
      <c r="K62" s="39">
        <v>18828</v>
      </c>
      <c r="L62" s="43">
        <v>905</v>
      </c>
    </row>
    <row r="63" spans="1:12" s="40" customFormat="1" ht="12.75" customHeight="1" x14ac:dyDescent="0.3">
      <c r="A63" s="16">
        <v>903</v>
      </c>
      <c r="B63" s="17">
        <v>3</v>
      </c>
      <c r="C63" s="17">
        <v>11</v>
      </c>
      <c r="D63" s="17">
        <v>1</v>
      </c>
      <c r="E63" s="18" t="s">
        <v>76</v>
      </c>
      <c r="F63" s="39">
        <v>12935</v>
      </c>
      <c r="G63" s="39">
        <v>479</v>
      </c>
      <c r="H63" s="39">
        <v>2233</v>
      </c>
      <c r="I63" s="39">
        <v>15647</v>
      </c>
      <c r="J63" s="39">
        <v>1534</v>
      </c>
      <c r="K63" s="39">
        <v>17181</v>
      </c>
      <c r="L63" s="43">
        <v>935</v>
      </c>
    </row>
    <row r="64" spans="1:12" s="40" customFormat="1" ht="12.75" customHeight="1" x14ac:dyDescent="0.3">
      <c r="A64" s="16">
        <v>910</v>
      </c>
      <c r="B64" s="17">
        <v>20</v>
      </c>
      <c r="C64" s="17">
        <v>6</v>
      </c>
      <c r="D64" s="17">
        <v>1</v>
      </c>
      <c r="E64" s="18" t="s">
        <v>77</v>
      </c>
      <c r="F64" s="39">
        <v>13169</v>
      </c>
      <c r="G64" s="39">
        <v>792</v>
      </c>
      <c r="H64" s="39">
        <v>1380</v>
      </c>
      <c r="I64" s="39">
        <v>15341</v>
      </c>
      <c r="J64" s="39">
        <v>521</v>
      </c>
      <c r="K64" s="39">
        <v>15862</v>
      </c>
      <c r="L64" s="43">
        <v>1410</v>
      </c>
    </row>
    <row r="65" spans="1:12" s="40" customFormat="1" ht="12.75" customHeight="1" x14ac:dyDescent="0.3">
      <c r="A65" s="16">
        <v>980</v>
      </c>
      <c r="B65" s="17">
        <v>41</v>
      </c>
      <c r="C65" s="17">
        <v>4</v>
      </c>
      <c r="D65" s="17">
        <v>1</v>
      </c>
      <c r="E65" s="18" t="s">
        <v>78</v>
      </c>
      <c r="F65" s="39">
        <v>14810</v>
      </c>
      <c r="G65" s="39">
        <v>1149</v>
      </c>
      <c r="H65" s="39">
        <v>2256</v>
      </c>
      <c r="I65" s="39">
        <v>18216</v>
      </c>
      <c r="J65" s="39">
        <v>934</v>
      </c>
      <c r="K65" s="39">
        <v>19150</v>
      </c>
      <c r="L65" s="43">
        <v>554</v>
      </c>
    </row>
    <row r="66" spans="1:12" s="40" customFormat="1" ht="12.75" customHeight="1" x14ac:dyDescent="0.3">
      <c r="A66" s="16">
        <v>994</v>
      </c>
      <c r="B66" s="17">
        <v>22</v>
      </c>
      <c r="C66" s="17">
        <v>3</v>
      </c>
      <c r="D66" s="17">
        <v>1</v>
      </c>
      <c r="E66" s="18" t="s">
        <v>79</v>
      </c>
      <c r="F66" s="39">
        <v>18718</v>
      </c>
      <c r="G66" s="39">
        <v>989</v>
      </c>
      <c r="H66" s="39">
        <v>0</v>
      </c>
      <c r="I66" s="39">
        <v>19707</v>
      </c>
      <c r="J66" s="39">
        <v>1222</v>
      </c>
      <c r="K66" s="39">
        <v>20929</v>
      </c>
      <c r="L66" s="43">
        <v>228</v>
      </c>
    </row>
    <row r="67" spans="1:12" s="40" customFormat="1" ht="12.75" customHeight="1" x14ac:dyDescent="0.3">
      <c r="A67" s="16">
        <v>1029</v>
      </c>
      <c r="B67" s="17">
        <v>59</v>
      </c>
      <c r="C67" s="17">
        <v>7</v>
      </c>
      <c r="D67" s="17">
        <v>1</v>
      </c>
      <c r="E67" s="18" t="s">
        <v>80</v>
      </c>
      <c r="F67" s="39">
        <v>13298</v>
      </c>
      <c r="G67" s="39">
        <v>547</v>
      </c>
      <c r="H67" s="39">
        <v>1566</v>
      </c>
      <c r="I67" s="39">
        <v>15411</v>
      </c>
      <c r="J67" s="39">
        <v>757</v>
      </c>
      <c r="K67" s="39">
        <v>16168</v>
      </c>
      <c r="L67" s="43">
        <v>950</v>
      </c>
    </row>
    <row r="68" spans="1:12" s="40" customFormat="1" ht="12.75" customHeight="1" x14ac:dyDescent="0.3">
      <c r="A68" s="16">
        <v>1015</v>
      </c>
      <c r="B68" s="17">
        <v>45</v>
      </c>
      <c r="C68" s="17">
        <v>1</v>
      </c>
      <c r="D68" s="17">
        <v>1</v>
      </c>
      <c r="E68" s="18" t="s">
        <v>81</v>
      </c>
      <c r="F68" s="39">
        <v>12719</v>
      </c>
      <c r="G68" s="39">
        <v>517</v>
      </c>
      <c r="H68" s="39">
        <v>2682</v>
      </c>
      <c r="I68" s="39">
        <v>15917</v>
      </c>
      <c r="J68" s="39">
        <v>480</v>
      </c>
      <c r="K68" s="39">
        <v>16397</v>
      </c>
      <c r="L68" s="43">
        <v>3052</v>
      </c>
    </row>
    <row r="69" spans="1:12" s="40" customFormat="1" ht="12.75" customHeight="1" x14ac:dyDescent="0.3">
      <c r="A69" s="16">
        <v>5054</v>
      </c>
      <c r="B69" s="17">
        <v>30</v>
      </c>
      <c r="C69" s="17">
        <v>2</v>
      </c>
      <c r="D69" s="17">
        <v>2</v>
      </c>
      <c r="E69" s="18" t="s">
        <v>82</v>
      </c>
      <c r="F69" s="39">
        <v>13059</v>
      </c>
      <c r="G69" s="39">
        <v>555</v>
      </c>
      <c r="H69" s="39">
        <v>3901</v>
      </c>
      <c r="I69" s="39">
        <v>17515</v>
      </c>
      <c r="J69" s="39">
        <v>663</v>
      </c>
      <c r="K69" s="39">
        <v>18178</v>
      </c>
      <c r="L69" s="43">
        <v>1165</v>
      </c>
    </row>
    <row r="70" spans="1:12" s="40" customFormat="1" ht="12.75" customHeight="1" x14ac:dyDescent="0.3">
      <c r="A70" s="16">
        <v>1071</v>
      </c>
      <c r="B70" s="17">
        <v>50</v>
      </c>
      <c r="C70" s="17">
        <v>12</v>
      </c>
      <c r="D70" s="17">
        <v>1</v>
      </c>
      <c r="E70" s="18" t="s">
        <v>83</v>
      </c>
      <c r="F70" s="39">
        <v>14953</v>
      </c>
      <c r="G70" s="39">
        <v>908</v>
      </c>
      <c r="H70" s="39">
        <v>135</v>
      </c>
      <c r="I70" s="39">
        <v>15996</v>
      </c>
      <c r="J70" s="39">
        <v>1070</v>
      </c>
      <c r="K70" s="39">
        <v>17065</v>
      </c>
      <c r="L70" s="43">
        <v>736</v>
      </c>
    </row>
    <row r="71" spans="1:12" s="40" customFormat="1" ht="12.75" customHeight="1" x14ac:dyDescent="0.3">
      <c r="A71" s="16">
        <v>1080</v>
      </c>
      <c r="B71" s="17">
        <v>3</v>
      </c>
      <c r="C71" s="17">
        <v>11</v>
      </c>
      <c r="D71" s="17">
        <v>1</v>
      </c>
      <c r="E71" s="18" t="s">
        <v>84</v>
      </c>
      <c r="F71" s="39">
        <v>13481</v>
      </c>
      <c r="G71" s="39">
        <v>1160</v>
      </c>
      <c r="H71" s="39">
        <v>1802</v>
      </c>
      <c r="I71" s="39">
        <v>16443</v>
      </c>
      <c r="J71" s="39">
        <v>1218</v>
      </c>
      <c r="K71" s="39">
        <v>17662</v>
      </c>
      <c r="L71" s="43">
        <v>1046</v>
      </c>
    </row>
    <row r="72" spans="1:12" s="40" customFormat="1" ht="12.75" customHeight="1" x14ac:dyDescent="0.3">
      <c r="A72" s="16">
        <v>1085</v>
      </c>
      <c r="B72" s="17">
        <v>8</v>
      </c>
      <c r="C72" s="17">
        <v>7</v>
      </c>
      <c r="D72" s="17">
        <v>1</v>
      </c>
      <c r="E72" s="18" t="s">
        <v>85</v>
      </c>
      <c r="F72" s="39">
        <v>13206</v>
      </c>
      <c r="G72" s="39">
        <v>509</v>
      </c>
      <c r="H72" s="39">
        <v>1932</v>
      </c>
      <c r="I72" s="39">
        <v>15648</v>
      </c>
      <c r="J72" s="39">
        <v>1115</v>
      </c>
      <c r="K72" s="39">
        <v>16762</v>
      </c>
      <c r="L72" s="43">
        <v>1085</v>
      </c>
    </row>
    <row r="73" spans="1:12" s="40" customFormat="1" ht="12.75" customHeight="1" x14ac:dyDescent="0.3">
      <c r="A73" s="16">
        <v>1092</v>
      </c>
      <c r="B73" s="17">
        <v>9</v>
      </c>
      <c r="C73" s="17">
        <v>10</v>
      </c>
      <c r="D73" s="17">
        <v>1</v>
      </c>
      <c r="E73" s="18" t="s">
        <v>86</v>
      </c>
      <c r="F73" s="39">
        <v>13530</v>
      </c>
      <c r="G73" s="39">
        <v>940</v>
      </c>
      <c r="H73" s="39">
        <v>945</v>
      </c>
      <c r="I73" s="39">
        <v>15414</v>
      </c>
      <c r="J73" s="39">
        <v>766</v>
      </c>
      <c r="K73" s="39">
        <v>16181</v>
      </c>
      <c r="L73" s="43">
        <v>4958</v>
      </c>
    </row>
    <row r="74" spans="1:12" s="40" customFormat="1" ht="12.75" customHeight="1" x14ac:dyDescent="0.3">
      <c r="A74" s="16">
        <v>1120</v>
      </c>
      <c r="B74" s="17">
        <v>48</v>
      </c>
      <c r="C74" s="17">
        <v>11</v>
      </c>
      <c r="D74" s="17">
        <v>1</v>
      </c>
      <c r="E74" s="18" t="s">
        <v>87</v>
      </c>
      <c r="F74" s="39">
        <v>18846</v>
      </c>
      <c r="G74" s="39">
        <v>757</v>
      </c>
      <c r="H74" s="39">
        <v>42</v>
      </c>
      <c r="I74" s="39">
        <v>19645</v>
      </c>
      <c r="J74" s="39">
        <v>1891</v>
      </c>
      <c r="K74" s="39">
        <v>21536</v>
      </c>
      <c r="L74" s="43">
        <v>281</v>
      </c>
    </row>
    <row r="75" spans="1:12" s="40" customFormat="1" ht="12.75" customHeight="1" x14ac:dyDescent="0.3">
      <c r="A75" s="16">
        <v>1127</v>
      </c>
      <c r="B75" s="17">
        <v>48</v>
      </c>
      <c r="C75" s="17">
        <v>11</v>
      </c>
      <c r="D75" s="17">
        <v>1</v>
      </c>
      <c r="E75" s="18" t="s">
        <v>88</v>
      </c>
      <c r="F75" s="39">
        <v>14266</v>
      </c>
      <c r="G75" s="39">
        <v>1386</v>
      </c>
      <c r="H75" s="39">
        <v>1766</v>
      </c>
      <c r="I75" s="39">
        <v>17418</v>
      </c>
      <c r="J75" s="39">
        <v>1355</v>
      </c>
      <c r="K75" s="39">
        <v>18773</v>
      </c>
      <c r="L75" s="43">
        <v>582</v>
      </c>
    </row>
    <row r="76" spans="1:12" s="40" customFormat="1" ht="12.75" customHeight="1" x14ac:dyDescent="0.3">
      <c r="A76" s="16">
        <v>1134</v>
      </c>
      <c r="B76" s="17">
        <v>53</v>
      </c>
      <c r="C76" s="17">
        <v>2</v>
      </c>
      <c r="D76" s="17">
        <v>1</v>
      </c>
      <c r="E76" s="18" t="s">
        <v>89</v>
      </c>
      <c r="F76" s="39">
        <v>16070</v>
      </c>
      <c r="G76" s="39">
        <v>827</v>
      </c>
      <c r="H76" s="39">
        <v>3674</v>
      </c>
      <c r="I76" s="39">
        <v>20571</v>
      </c>
      <c r="J76" s="39">
        <v>918</v>
      </c>
      <c r="K76" s="39">
        <v>21489</v>
      </c>
      <c r="L76" s="43">
        <v>950</v>
      </c>
    </row>
    <row r="77" spans="1:12" s="40" customFormat="1" ht="12.75" customHeight="1" x14ac:dyDescent="0.3">
      <c r="A77" s="16">
        <v>1141</v>
      </c>
      <c r="B77" s="17">
        <v>68</v>
      </c>
      <c r="C77" s="17">
        <v>8</v>
      </c>
      <c r="D77" s="17">
        <v>1</v>
      </c>
      <c r="E77" s="18" t="s">
        <v>90</v>
      </c>
      <c r="F77" s="39">
        <v>13513</v>
      </c>
      <c r="G77" s="39">
        <v>594</v>
      </c>
      <c r="H77" s="39">
        <v>2817</v>
      </c>
      <c r="I77" s="39">
        <v>16924</v>
      </c>
      <c r="J77" s="39">
        <v>1775</v>
      </c>
      <c r="K77" s="39">
        <v>18699</v>
      </c>
      <c r="L77" s="43">
        <v>1298</v>
      </c>
    </row>
    <row r="78" spans="1:12" s="40" customFormat="1" ht="12.75" customHeight="1" x14ac:dyDescent="0.3">
      <c r="A78" s="16">
        <v>1155</v>
      </c>
      <c r="B78" s="17">
        <v>6</v>
      </c>
      <c r="C78" s="17">
        <v>4</v>
      </c>
      <c r="D78" s="17">
        <v>1</v>
      </c>
      <c r="E78" s="18" t="s">
        <v>91</v>
      </c>
      <c r="F78" s="39">
        <v>12914</v>
      </c>
      <c r="G78" s="39">
        <v>784</v>
      </c>
      <c r="H78" s="39">
        <v>1279</v>
      </c>
      <c r="I78" s="39">
        <v>14977</v>
      </c>
      <c r="J78" s="39">
        <v>1016</v>
      </c>
      <c r="K78" s="39">
        <v>15993</v>
      </c>
      <c r="L78" s="43">
        <v>555</v>
      </c>
    </row>
    <row r="79" spans="1:12" s="40" customFormat="1" ht="12.75" customHeight="1" x14ac:dyDescent="0.3">
      <c r="A79" s="16">
        <v>1162</v>
      </c>
      <c r="B79" s="17">
        <v>10</v>
      </c>
      <c r="C79" s="17">
        <v>10</v>
      </c>
      <c r="D79" s="17">
        <v>1</v>
      </c>
      <c r="E79" s="18" t="s">
        <v>92</v>
      </c>
      <c r="F79" s="39">
        <v>13870</v>
      </c>
      <c r="G79" s="39">
        <v>758</v>
      </c>
      <c r="H79" s="39">
        <v>1174</v>
      </c>
      <c r="I79" s="39">
        <v>15801</v>
      </c>
      <c r="J79" s="39">
        <v>899</v>
      </c>
      <c r="K79" s="39">
        <v>16700</v>
      </c>
      <c r="L79" s="43">
        <v>1019</v>
      </c>
    </row>
    <row r="80" spans="1:12" s="40" customFormat="1" ht="12.75" customHeight="1" x14ac:dyDescent="0.3">
      <c r="A80" s="16">
        <v>1169</v>
      </c>
      <c r="B80" s="17">
        <v>38</v>
      </c>
      <c r="C80" s="17">
        <v>8</v>
      </c>
      <c r="D80" s="17">
        <v>1</v>
      </c>
      <c r="E80" s="18" t="s">
        <v>93</v>
      </c>
      <c r="F80" s="39">
        <v>12609</v>
      </c>
      <c r="G80" s="39">
        <v>870</v>
      </c>
      <c r="H80" s="39">
        <v>2560</v>
      </c>
      <c r="I80" s="39">
        <v>16040</v>
      </c>
      <c r="J80" s="39">
        <v>898</v>
      </c>
      <c r="K80" s="39">
        <v>16938</v>
      </c>
      <c r="L80" s="43">
        <v>752</v>
      </c>
    </row>
    <row r="81" spans="1:12" s="40" customFormat="1" ht="12.75" customHeight="1" x14ac:dyDescent="0.3">
      <c r="A81" s="16">
        <v>1176</v>
      </c>
      <c r="B81" s="17">
        <v>17</v>
      </c>
      <c r="C81" s="17">
        <v>11</v>
      </c>
      <c r="D81" s="17">
        <v>1</v>
      </c>
      <c r="E81" s="18" t="s">
        <v>94</v>
      </c>
      <c r="F81" s="39">
        <v>13553</v>
      </c>
      <c r="G81" s="39">
        <v>747</v>
      </c>
      <c r="H81" s="39">
        <v>1337</v>
      </c>
      <c r="I81" s="39">
        <v>15636</v>
      </c>
      <c r="J81" s="39">
        <v>774</v>
      </c>
      <c r="K81" s="39">
        <v>16410</v>
      </c>
      <c r="L81" s="43">
        <v>745</v>
      </c>
    </row>
    <row r="82" spans="1:12" s="40" customFormat="1" ht="12.75" customHeight="1" x14ac:dyDescent="0.3">
      <c r="A82" s="16">
        <v>1183</v>
      </c>
      <c r="B82" s="17">
        <v>11</v>
      </c>
      <c r="C82" s="17">
        <v>5</v>
      </c>
      <c r="D82" s="17">
        <v>1</v>
      </c>
      <c r="E82" s="18" t="s">
        <v>95</v>
      </c>
      <c r="F82" s="39">
        <v>14675</v>
      </c>
      <c r="G82" s="39">
        <v>811</v>
      </c>
      <c r="H82" s="39">
        <v>2424</v>
      </c>
      <c r="I82" s="39">
        <v>17910</v>
      </c>
      <c r="J82" s="39">
        <v>846</v>
      </c>
      <c r="K82" s="39">
        <v>18755</v>
      </c>
      <c r="L82" s="43">
        <v>1178</v>
      </c>
    </row>
    <row r="83" spans="1:12" s="40" customFormat="1" ht="12.75" customHeight="1" x14ac:dyDescent="0.3">
      <c r="A83" s="16">
        <v>1204</v>
      </c>
      <c r="B83" s="17">
        <v>9</v>
      </c>
      <c r="C83" s="17">
        <v>10</v>
      </c>
      <c r="D83" s="17">
        <v>1</v>
      </c>
      <c r="E83" s="18" t="s">
        <v>96</v>
      </c>
      <c r="F83" s="39">
        <v>13712</v>
      </c>
      <c r="G83" s="39">
        <v>900</v>
      </c>
      <c r="H83" s="39">
        <v>0</v>
      </c>
      <c r="I83" s="39">
        <v>14612</v>
      </c>
      <c r="J83" s="39">
        <v>1088</v>
      </c>
      <c r="K83" s="39">
        <v>15701</v>
      </c>
      <c r="L83" s="43">
        <v>436</v>
      </c>
    </row>
    <row r="84" spans="1:12" s="40" customFormat="1" ht="12.75" customHeight="1" x14ac:dyDescent="0.3">
      <c r="A84" s="16">
        <v>1218</v>
      </c>
      <c r="B84" s="17">
        <v>21</v>
      </c>
      <c r="C84" s="17">
        <v>8</v>
      </c>
      <c r="D84" s="17">
        <v>1</v>
      </c>
      <c r="E84" s="18" t="s">
        <v>97</v>
      </c>
      <c r="F84" s="39">
        <v>17840</v>
      </c>
      <c r="G84" s="39">
        <v>791</v>
      </c>
      <c r="H84" s="39">
        <v>0</v>
      </c>
      <c r="I84" s="39">
        <v>18631</v>
      </c>
      <c r="J84" s="39">
        <v>963</v>
      </c>
      <c r="K84" s="39">
        <v>19594</v>
      </c>
      <c r="L84" s="43">
        <v>868</v>
      </c>
    </row>
    <row r="85" spans="1:12" s="40" customFormat="1" ht="12.75" customHeight="1" x14ac:dyDescent="0.3">
      <c r="A85" s="16">
        <v>1232</v>
      </c>
      <c r="B85" s="17">
        <v>38</v>
      </c>
      <c r="C85" s="17">
        <v>8</v>
      </c>
      <c r="D85" s="17">
        <v>1</v>
      </c>
      <c r="E85" s="18" t="s">
        <v>98</v>
      </c>
      <c r="F85" s="39">
        <v>13980</v>
      </c>
      <c r="G85" s="39">
        <v>700</v>
      </c>
      <c r="H85" s="39">
        <v>460</v>
      </c>
      <c r="I85" s="39">
        <v>15140</v>
      </c>
      <c r="J85" s="39">
        <v>751</v>
      </c>
      <c r="K85" s="39">
        <v>15891</v>
      </c>
      <c r="L85" s="43">
        <v>784</v>
      </c>
    </row>
    <row r="86" spans="1:12" s="40" customFormat="1" ht="12.75" customHeight="1" x14ac:dyDescent="0.3">
      <c r="A86" s="16">
        <v>1246</v>
      </c>
      <c r="B86" s="17">
        <v>22</v>
      </c>
      <c r="C86" s="17">
        <v>3</v>
      </c>
      <c r="D86" s="17">
        <v>1</v>
      </c>
      <c r="E86" s="18" t="s">
        <v>99</v>
      </c>
      <c r="F86" s="39">
        <v>15666</v>
      </c>
      <c r="G86" s="39">
        <v>916</v>
      </c>
      <c r="H86" s="39">
        <v>2959</v>
      </c>
      <c r="I86" s="39">
        <v>19541</v>
      </c>
      <c r="J86" s="39">
        <v>1042</v>
      </c>
      <c r="K86" s="39">
        <v>20582</v>
      </c>
      <c r="L86" s="43">
        <v>612</v>
      </c>
    </row>
    <row r="87" spans="1:12" s="40" customFormat="1" ht="12.75" customHeight="1" x14ac:dyDescent="0.3">
      <c r="A87" s="16">
        <v>1253</v>
      </c>
      <c r="B87" s="17">
        <v>40</v>
      </c>
      <c r="C87" s="17">
        <v>1</v>
      </c>
      <c r="D87" s="17">
        <v>1</v>
      </c>
      <c r="E87" s="18" t="s">
        <v>100</v>
      </c>
      <c r="F87" s="39">
        <v>15429</v>
      </c>
      <c r="G87" s="39">
        <v>271</v>
      </c>
      <c r="H87" s="39">
        <v>1524</v>
      </c>
      <c r="I87" s="39">
        <v>17224</v>
      </c>
      <c r="J87" s="39">
        <v>1107</v>
      </c>
      <c r="K87" s="39">
        <v>18331</v>
      </c>
      <c r="L87" s="43">
        <v>2347</v>
      </c>
    </row>
    <row r="88" spans="1:12" s="40" customFormat="1" ht="12.75" customHeight="1" x14ac:dyDescent="0.3">
      <c r="A88" s="16">
        <v>1260</v>
      </c>
      <c r="B88" s="17">
        <v>3</v>
      </c>
      <c r="C88" s="17">
        <v>11</v>
      </c>
      <c r="D88" s="17">
        <v>1</v>
      </c>
      <c r="E88" s="18" t="s">
        <v>101</v>
      </c>
      <c r="F88" s="39">
        <v>15980</v>
      </c>
      <c r="G88" s="39">
        <v>1080</v>
      </c>
      <c r="H88" s="39">
        <v>-591</v>
      </c>
      <c r="I88" s="39">
        <v>16470</v>
      </c>
      <c r="J88" s="39">
        <v>1124</v>
      </c>
      <c r="K88" s="39">
        <v>17593</v>
      </c>
      <c r="L88" s="43">
        <v>905</v>
      </c>
    </row>
    <row r="89" spans="1:12" s="40" customFormat="1" ht="12.75" customHeight="1" x14ac:dyDescent="0.3">
      <c r="A89" s="16">
        <v>4970</v>
      </c>
      <c r="B89" s="17">
        <v>37</v>
      </c>
      <c r="C89" s="17">
        <v>9</v>
      </c>
      <c r="D89" s="17">
        <v>1</v>
      </c>
      <c r="E89" s="18" t="s">
        <v>102</v>
      </c>
      <c r="F89" s="39">
        <v>12428</v>
      </c>
      <c r="G89" s="39">
        <v>560</v>
      </c>
      <c r="H89" s="39">
        <v>2325</v>
      </c>
      <c r="I89" s="39">
        <v>15313</v>
      </c>
      <c r="J89" s="39">
        <v>1076</v>
      </c>
      <c r="K89" s="39">
        <v>16389</v>
      </c>
      <c r="L89" s="43">
        <v>5999</v>
      </c>
    </row>
    <row r="90" spans="1:12" s="40" customFormat="1" ht="12.75" customHeight="1" x14ac:dyDescent="0.3">
      <c r="A90" s="16">
        <v>1295</v>
      </c>
      <c r="B90" s="17">
        <v>33</v>
      </c>
      <c r="C90" s="17">
        <v>3</v>
      </c>
      <c r="D90" s="17">
        <v>1</v>
      </c>
      <c r="E90" s="18" t="s">
        <v>103</v>
      </c>
      <c r="F90" s="39">
        <v>14311</v>
      </c>
      <c r="G90" s="39">
        <v>651</v>
      </c>
      <c r="H90" s="39">
        <v>2636</v>
      </c>
      <c r="I90" s="39">
        <v>17599</v>
      </c>
      <c r="J90" s="39">
        <v>771</v>
      </c>
      <c r="K90" s="39">
        <v>18370</v>
      </c>
      <c r="L90" s="43">
        <v>908</v>
      </c>
    </row>
    <row r="91" spans="1:12" s="40" customFormat="1" ht="12.75" customHeight="1" x14ac:dyDescent="0.3">
      <c r="A91" s="16">
        <v>1309</v>
      </c>
      <c r="B91" s="17">
        <v>13</v>
      </c>
      <c r="C91" s="17">
        <v>2</v>
      </c>
      <c r="D91" s="17">
        <v>1</v>
      </c>
      <c r="E91" s="18" t="s">
        <v>104</v>
      </c>
      <c r="F91" s="39">
        <v>13790</v>
      </c>
      <c r="G91" s="39">
        <v>557</v>
      </c>
      <c r="H91" s="39">
        <v>3464</v>
      </c>
      <c r="I91" s="39">
        <v>17811</v>
      </c>
      <c r="J91" s="39">
        <v>733</v>
      </c>
      <c r="K91" s="39">
        <v>18544</v>
      </c>
      <c r="L91" s="43">
        <v>785</v>
      </c>
    </row>
    <row r="92" spans="1:12" s="40" customFormat="1" ht="12.75" customHeight="1" x14ac:dyDescent="0.3">
      <c r="A92" s="16">
        <v>1316</v>
      </c>
      <c r="B92" s="17">
        <v>13</v>
      </c>
      <c r="C92" s="17">
        <v>2</v>
      </c>
      <c r="D92" s="17">
        <v>1</v>
      </c>
      <c r="E92" s="18" t="s">
        <v>105</v>
      </c>
      <c r="F92" s="39">
        <v>14241</v>
      </c>
      <c r="G92" s="39">
        <v>512</v>
      </c>
      <c r="H92" s="39">
        <v>4366</v>
      </c>
      <c r="I92" s="39">
        <v>19119</v>
      </c>
      <c r="J92" s="39">
        <v>595</v>
      </c>
      <c r="K92" s="39">
        <v>19714</v>
      </c>
      <c r="L92" s="43">
        <v>4118</v>
      </c>
    </row>
    <row r="93" spans="1:12" s="40" customFormat="1" ht="12.75" customHeight="1" x14ac:dyDescent="0.3">
      <c r="A93" s="16">
        <v>1380</v>
      </c>
      <c r="B93" s="17">
        <v>64</v>
      </c>
      <c r="C93" s="17">
        <v>2</v>
      </c>
      <c r="D93" s="17">
        <v>1</v>
      </c>
      <c r="E93" s="18" t="s">
        <v>106</v>
      </c>
      <c r="F93" s="39">
        <v>14161</v>
      </c>
      <c r="G93" s="39">
        <v>580</v>
      </c>
      <c r="H93" s="39">
        <v>1464</v>
      </c>
      <c r="I93" s="39">
        <v>16205</v>
      </c>
      <c r="J93" s="39">
        <v>682</v>
      </c>
      <c r="K93" s="39">
        <v>16887</v>
      </c>
      <c r="L93" s="43">
        <v>2424</v>
      </c>
    </row>
    <row r="94" spans="1:12" s="40" customFormat="1" ht="12.75" customHeight="1" x14ac:dyDescent="0.3">
      <c r="A94" s="16">
        <v>1407</v>
      </c>
      <c r="B94" s="17">
        <v>5</v>
      </c>
      <c r="C94" s="17">
        <v>7</v>
      </c>
      <c r="D94" s="17">
        <v>1</v>
      </c>
      <c r="E94" s="18" t="s">
        <v>107</v>
      </c>
      <c r="F94" s="39">
        <v>13122</v>
      </c>
      <c r="G94" s="39">
        <v>538</v>
      </c>
      <c r="H94" s="39">
        <v>1563</v>
      </c>
      <c r="I94" s="39">
        <v>15224</v>
      </c>
      <c r="J94" s="39">
        <v>843</v>
      </c>
      <c r="K94" s="39">
        <v>16067</v>
      </c>
      <c r="L94" s="43">
        <v>1526</v>
      </c>
    </row>
    <row r="95" spans="1:12" s="40" customFormat="1" ht="12.75" customHeight="1" x14ac:dyDescent="0.3">
      <c r="A95" s="16">
        <v>1414</v>
      </c>
      <c r="B95" s="17">
        <v>5</v>
      </c>
      <c r="C95" s="17">
        <v>7</v>
      </c>
      <c r="D95" s="17">
        <v>1</v>
      </c>
      <c r="E95" s="18" t="s">
        <v>108</v>
      </c>
      <c r="F95" s="39">
        <v>12196</v>
      </c>
      <c r="G95" s="39">
        <v>359</v>
      </c>
      <c r="H95" s="39">
        <v>333</v>
      </c>
      <c r="I95" s="39">
        <v>12888</v>
      </c>
      <c r="J95" s="39">
        <v>657</v>
      </c>
      <c r="K95" s="39">
        <v>13546</v>
      </c>
      <c r="L95" s="43">
        <v>4345</v>
      </c>
    </row>
    <row r="96" spans="1:12" s="40" customFormat="1" ht="12.75" customHeight="1" x14ac:dyDescent="0.3">
      <c r="A96" s="16">
        <v>1421</v>
      </c>
      <c r="B96" s="17">
        <v>62</v>
      </c>
      <c r="C96" s="17">
        <v>4</v>
      </c>
      <c r="D96" s="17">
        <v>1</v>
      </c>
      <c r="E96" s="18" t="s">
        <v>109</v>
      </c>
      <c r="F96" s="39">
        <v>15357</v>
      </c>
      <c r="G96" s="39">
        <v>1240</v>
      </c>
      <c r="H96" s="39">
        <v>928</v>
      </c>
      <c r="I96" s="39">
        <v>17525</v>
      </c>
      <c r="J96" s="39">
        <v>807</v>
      </c>
      <c r="K96" s="39">
        <v>18332</v>
      </c>
      <c r="L96" s="43">
        <v>522</v>
      </c>
    </row>
    <row r="97" spans="1:12" s="40" customFormat="1" ht="12.75" customHeight="1" x14ac:dyDescent="0.3">
      <c r="A97" s="16">
        <v>2744</v>
      </c>
      <c r="B97" s="17">
        <v>14</v>
      </c>
      <c r="C97" s="17">
        <v>6</v>
      </c>
      <c r="D97" s="17">
        <v>1</v>
      </c>
      <c r="E97" s="18" t="s">
        <v>110</v>
      </c>
      <c r="F97" s="39">
        <v>14532</v>
      </c>
      <c r="G97" s="39">
        <v>983</v>
      </c>
      <c r="H97" s="39">
        <v>1559</v>
      </c>
      <c r="I97" s="39">
        <v>17074</v>
      </c>
      <c r="J97" s="39">
        <v>743</v>
      </c>
      <c r="K97" s="39">
        <v>17817</v>
      </c>
      <c r="L97" s="43">
        <v>708</v>
      </c>
    </row>
    <row r="98" spans="1:12" s="40" customFormat="1" ht="12.75" customHeight="1" x14ac:dyDescent="0.3">
      <c r="A98" s="16">
        <v>1428</v>
      </c>
      <c r="B98" s="17">
        <v>25</v>
      </c>
      <c r="C98" s="17">
        <v>3</v>
      </c>
      <c r="D98" s="17">
        <v>1</v>
      </c>
      <c r="E98" s="18" t="s">
        <v>111</v>
      </c>
      <c r="F98" s="39">
        <v>14469</v>
      </c>
      <c r="G98" s="39">
        <v>695</v>
      </c>
      <c r="H98" s="39">
        <v>2042</v>
      </c>
      <c r="I98" s="39">
        <v>17206</v>
      </c>
      <c r="J98" s="39">
        <v>794</v>
      </c>
      <c r="K98" s="39">
        <v>18000</v>
      </c>
      <c r="L98" s="43">
        <v>1192</v>
      </c>
    </row>
    <row r="99" spans="1:12" s="40" customFormat="1" ht="12.75" customHeight="1" x14ac:dyDescent="0.3">
      <c r="A99" s="16">
        <v>1449</v>
      </c>
      <c r="B99" s="17">
        <v>51</v>
      </c>
      <c r="C99" s="17">
        <v>2</v>
      </c>
      <c r="D99" s="17">
        <v>3</v>
      </c>
      <c r="E99" s="18" t="s">
        <v>112</v>
      </c>
      <c r="F99" s="39">
        <v>15983</v>
      </c>
      <c r="G99" s="39">
        <v>714</v>
      </c>
      <c r="H99" s="39">
        <v>326</v>
      </c>
      <c r="I99" s="39">
        <v>17023</v>
      </c>
      <c r="J99" s="39">
        <v>0</v>
      </c>
      <c r="K99" s="39">
        <v>17023</v>
      </c>
      <c r="L99" s="43">
        <v>83</v>
      </c>
    </row>
    <row r="100" spans="1:12" s="40" customFormat="1" ht="12.75" customHeight="1" x14ac:dyDescent="0.3">
      <c r="A100" s="16">
        <v>1491</v>
      </c>
      <c r="B100" s="17">
        <v>4</v>
      </c>
      <c r="C100" s="17">
        <v>12</v>
      </c>
      <c r="D100" s="17">
        <v>1</v>
      </c>
      <c r="E100" s="18" t="s">
        <v>113</v>
      </c>
      <c r="F100" s="39">
        <v>16632</v>
      </c>
      <c r="G100" s="39">
        <v>1943</v>
      </c>
      <c r="H100" s="39">
        <v>0</v>
      </c>
      <c r="I100" s="39">
        <v>18575</v>
      </c>
      <c r="J100" s="39">
        <v>765</v>
      </c>
      <c r="K100" s="39">
        <v>19340</v>
      </c>
      <c r="L100" s="43">
        <v>365</v>
      </c>
    </row>
    <row r="101" spans="1:12" s="40" customFormat="1" ht="12.75" customHeight="1" x14ac:dyDescent="0.3">
      <c r="A101" s="16">
        <v>1499</v>
      </c>
      <c r="B101" s="17">
        <v>46</v>
      </c>
      <c r="C101" s="17">
        <v>11</v>
      </c>
      <c r="D101" s="17">
        <v>1</v>
      </c>
      <c r="E101" s="18" t="s">
        <v>114</v>
      </c>
      <c r="F101" s="39">
        <v>12891</v>
      </c>
      <c r="G101" s="39">
        <v>1086</v>
      </c>
      <c r="H101" s="39">
        <v>841</v>
      </c>
      <c r="I101" s="39">
        <v>14819</v>
      </c>
      <c r="J101" s="39">
        <v>763</v>
      </c>
      <c r="K101" s="39">
        <v>15581</v>
      </c>
      <c r="L101" s="43">
        <v>1041</v>
      </c>
    </row>
    <row r="102" spans="1:12" s="40" customFormat="1" ht="12.75" customHeight="1" x14ac:dyDescent="0.3">
      <c r="A102" s="16">
        <v>1540</v>
      </c>
      <c r="B102" s="17">
        <v>64</v>
      </c>
      <c r="C102" s="17">
        <v>2</v>
      </c>
      <c r="D102" s="17">
        <v>1</v>
      </c>
      <c r="E102" s="18" t="s">
        <v>115</v>
      </c>
      <c r="F102" s="39">
        <v>14491</v>
      </c>
      <c r="G102" s="39">
        <v>747</v>
      </c>
      <c r="H102" s="39">
        <v>1537</v>
      </c>
      <c r="I102" s="39">
        <v>16774</v>
      </c>
      <c r="J102" s="39">
        <v>604</v>
      </c>
      <c r="K102" s="39">
        <v>17378</v>
      </c>
      <c r="L102" s="43">
        <v>1618</v>
      </c>
    </row>
    <row r="103" spans="1:12" s="40" customFormat="1" ht="12.75" customHeight="1" x14ac:dyDescent="0.3">
      <c r="A103" s="16">
        <v>1554</v>
      </c>
      <c r="B103" s="17">
        <v>18</v>
      </c>
      <c r="C103" s="17">
        <v>10</v>
      </c>
      <c r="D103" s="17">
        <v>1</v>
      </c>
      <c r="E103" s="18" t="s">
        <v>116</v>
      </c>
      <c r="F103" s="39">
        <v>14444</v>
      </c>
      <c r="G103" s="39">
        <v>670</v>
      </c>
      <c r="H103" s="39">
        <v>1302</v>
      </c>
      <c r="I103" s="39">
        <v>16416</v>
      </c>
      <c r="J103" s="39">
        <v>623</v>
      </c>
      <c r="K103" s="39">
        <v>17039</v>
      </c>
      <c r="L103" s="43">
        <v>11475</v>
      </c>
    </row>
    <row r="104" spans="1:12" s="40" customFormat="1" ht="12.75" customHeight="1" x14ac:dyDescent="0.3">
      <c r="A104" s="16">
        <v>1561</v>
      </c>
      <c r="B104" s="17">
        <v>37</v>
      </c>
      <c r="C104" s="17">
        <v>9</v>
      </c>
      <c r="D104" s="17">
        <v>1</v>
      </c>
      <c r="E104" s="18" t="s">
        <v>117</v>
      </c>
      <c r="F104" s="39">
        <v>14477</v>
      </c>
      <c r="G104" s="39">
        <v>906</v>
      </c>
      <c r="H104" s="39">
        <v>2002</v>
      </c>
      <c r="I104" s="39">
        <v>17384</v>
      </c>
      <c r="J104" s="39">
        <v>875</v>
      </c>
      <c r="K104" s="39">
        <v>18260</v>
      </c>
      <c r="L104" s="43">
        <v>628</v>
      </c>
    </row>
    <row r="105" spans="1:12" s="40" customFormat="1" ht="12.75" customHeight="1" x14ac:dyDescent="0.3">
      <c r="A105" s="16">
        <v>1568</v>
      </c>
      <c r="B105" s="17">
        <v>53</v>
      </c>
      <c r="C105" s="17">
        <v>2</v>
      </c>
      <c r="D105" s="17">
        <v>1</v>
      </c>
      <c r="E105" s="18" t="s">
        <v>118</v>
      </c>
      <c r="F105" s="39">
        <v>13987</v>
      </c>
      <c r="G105" s="39">
        <v>591</v>
      </c>
      <c r="H105" s="39">
        <v>3232</v>
      </c>
      <c r="I105" s="39">
        <v>17809</v>
      </c>
      <c r="J105" s="39">
        <v>738</v>
      </c>
      <c r="K105" s="39">
        <v>18547</v>
      </c>
      <c r="L105" s="43">
        <v>1986</v>
      </c>
    </row>
    <row r="106" spans="1:12" s="40" customFormat="1" ht="12.75" customHeight="1" x14ac:dyDescent="0.3">
      <c r="A106" s="16">
        <v>1582</v>
      </c>
      <c r="B106" s="17">
        <v>34</v>
      </c>
      <c r="C106" s="17">
        <v>9</v>
      </c>
      <c r="D106" s="17">
        <v>1</v>
      </c>
      <c r="E106" s="18" t="s">
        <v>119</v>
      </c>
      <c r="F106" s="39">
        <v>19009</v>
      </c>
      <c r="G106" s="39">
        <v>1678</v>
      </c>
      <c r="H106" s="39">
        <v>5348</v>
      </c>
      <c r="I106" s="39">
        <v>26035</v>
      </c>
      <c r="J106" s="39">
        <v>2057</v>
      </c>
      <c r="K106" s="39">
        <v>28092</v>
      </c>
      <c r="L106" s="43">
        <v>242</v>
      </c>
    </row>
    <row r="107" spans="1:12" s="40" customFormat="1" ht="12.75" customHeight="1" x14ac:dyDescent="0.3">
      <c r="A107" s="16">
        <v>1600</v>
      </c>
      <c r="B107" s="17">
        <v>61</v>
      </c>
      <c r="C107" s="17">
        <v>10</v>
      </c>
      <c r="D107" s="17">
        <v>1</v>
      </c>
      <c r="E107" s="18" t="s">
        <v>120</v>
      </c>
      <c r="F107" s="39">
        <v>14210</v>
      </c>
      <c r="G107" s="39">
        <v>728</v>
      </c>
      <c r="H107" s="39">
        <v>1997</v>
      </c>
      <c r="I107" s="39">
        <v>16935</v>
      </c>
      <c r="J107" s="39">
        <v>704</v>
      </c>
      <c r="K107" s="39">
        <v>17640</v>
      </c>
      <c r="L107" s="43">
        <v>661</v>
      </c>
    </row>
    <row r="108" spans="1:12" s="40" customFormat="1" ht="12.75" customHeight="1" x14ac:dyDescent="0.3">
      <c r="A108" s="16">
        <v>1645</v>
      </c>
      <c r="B108" s="17">
        <v>17</v>
      </c>
      <c r="C108" s="17">
        <v>11</v>
      </c>
      <c r="D108" s="17">
        <v>1</v>
      </c>
      <c r="E108" s="18" t="s">
        <v>121</v>
      </c>
      <c r="F108" s="39">
        <v>12353</v>
      </c>
      <c r="G108" s="39">
        <v>598</v>
      </c>
      <c r="H108" s="39">
        <v>1187</v>
      </c>
      <c r="I108" s="39">
        <v>14138</v>
      </c>
      <c r="J108" s="39">
        <v>695</v>
      </c>
      <c r="K108" s="39">
        <v>14833</v>
      </c>
      <c r="L108" s="43">
        <v>1048</v>
      </c>
    </row>
    <row r="109" spans="1:12" s="40" customFormat="1" ht="12.75" customHeight="1" x14ac:dyDescent="0.3">
      <c r="A109" s="16">
        <v>1631</v>
      </c>
      <c r="B109" s="17">
        <v>59</v>
      </c>
      <c r="C109" s="17">
        <v>7</v>
      </c>
      <c r="D109" s="17">
        <v>1</v>
      </c>
      <c r="E109" s="18" t="s">
        <v>122</v>
      </c>
      <c r="F109" s="39">
        <v>15196</v>
      </c>
      <c r="G109" s="39">
        <v>587</v>
      </c>
      <c r="H109" s="39">
        <v>590</v>
      </c>
      <c r="I109" s="39">
        <v>16372</v>
      </c>
      <c r="J109" s="39">
        <v>709</v>
      </c>
      <c r="K109" s="39">
        <v>17081</v>
      </c>
      <c r="L109" s="43">
        <v>448</v>
      </c>
    </row>
    <row r="110" spans="1:12" s="40" customFormat="1" ht="12.75" customHeight="1" x14ac:dyDescent="0.3">
      <c r="A110" s="16">
        <v>1638</v>
      </c>
      <c r="B110" s="17">
        <v>64</v>
      </c>
      <c r="C110" s="17">
        <v>2</v>
      </c>
      <c r="D110" s="17">
        <v>1</v>
      </c>
      <c r="E110" s="18" t="s">
        <v>123</v>
      </c>
      <c r="F110" s="39">
        <v>12844</v>
      </c>
      <c r="G110" s="39">
        <v>930</v>
      </c>
      <c r="H110" s="39">
        <v>2756</v>
      </c>
      <c r="I110" s="39">
        <v>16530</v>
      </c>
      <c r="J110" s="39">
        <v>825</v>
      </c>
      <c r="K110" s="39">
        <v>17355</v>
      </c>
      <c r="L110" s="43">
        <v>2938</v>
      </c>
    </row>
    <row r="111" spans="1:12" s="40" customFormat="1" ht="12.75" customHeight="1" x14ac:dyDescent="0.3">
      <c r="A111" s="16">
        <v>1659</v>
      </c>
      <c r="B111" s="17">
        <v>47</v>
      </c>
      <c r="C111" s="17">
        <v>11</v>
      </c>
      <c r="D111" s="17">
        <v>1</v>
      </c>
      <c r="E111" s="18" t="s">
        <v>124</v>
      </c>
      <c r="F111" s="39">
        <v>13251</v>
      </c>
      <c r="G111" s="39">
        <v>1045</v>
      </c>
      <c r="H111" s="39">
        <v>1621</v>
      </c>
      <c r="I111" s="39">
        <v>15916</v>
      </c>
      <c r="J111" s="39">
        <v>1003</v>
      </c>
      <c r="K111" s="39">
        <v>16919</v>
      </c>
      <c r="L111" s="43">
        <v>1683</v>
      </c>
    </row>
    <row r="112" spans="1:12" s="40" customFormat="1" ht="12.75" customHeight="1" x14ac:dyDescent="0.3">
      <c r="A112" s="16">
        <v>714</v>
      </c>
      <c r="B112" s="17">
        <v>67</v>
      </c>
      <c r="C112" s="17">
        <v>1</v>
      </c>
      <c r="D112" s="17">
        <v>1</v>
      </c>
      <c r="E112" s="18" t="s">
        <v>125</v>
      </c>
      <c r="F112" s="39">
        <v>13267</v>
      </c>
      <c r="G112" s="39">
        <v>696</v>
      </c>
      <c r="H112" s="39">
        <v>1120</v>
      </c>
      <c r="I112" s="39">
        <v>15083</v>
      </c>
      <c r="J112" s="39">
        <v>666</v>
      </c>
      <c r="K112" s="39">
        <v>15749</v>
      </c>
      <c r="L112" s="43">
        <v>8092</v>
      </c>
    </row>
    <row r="113" spans="1:12" s="40" customFormat="1" ht="12.75" customHeight="1" x14ac:dyDescent="0.3">
      <c r="A113" s="16">
        <v>1666</v>
      </c>
      <c r="B113" s="17">
        <v>47</v>
      </c>
      <c r="C113" s="17">
        <v>11</v>
      </c>
      <c r="D113" s="17">
        <v>1</v>
      </c>
      <c r="E113" s="18" t="s">
        <v>126</v>
      </c>
      <c r="F113" s="39">
        <v>16773</v>
      </c>
      <c r="G113" s="39">
        <v>1205</v>
      </c>
      <c r="H113" s="39">
        <v>344</v>
      </c>
      <c r="I113" s="39">
        <v>18321</v>
      </c>
      <c r="J113" s="39">
        <v>1501</v>
      </c>
      <c r="K113" s="39">
        <v>19822</v>
      </c>
      <c r="L113" s="43">
        <v>291</v>
      </c>
    </row>
    <row r="114" spans="1:12" s="40" customFormat="1" ht="12.75" customHeight="1" x14ac:dyDescent="0.3">
      <c r="A114" s="16">
        <v>1687</v>
      </c>
      <c r="B114" s="17">
        <v>66</v>
      </c>
      <c r="C114" s="17">
        <v>6</v>
      </c>
      <c r="D114" s="17">
        <v>3</v>
      </c>
      <c r="E114" s="18" t="s">
        <v>127</v>
      </c>
      <c r="F114" s="39">
        <v>12809</v>
      </c>
      <c r="G114" s="39">
        <v>619</v>
      </c>
      <c r="H114" s="39">
        <v>1105</v>
      </c>
      <c r="I114" s="39">
        <v>14533</v>
      </c>
      <c r="J114" s="39">
        <v>1348</v>
      </c>
      <c r="K114" s="39">
        <v>15880</v>
      </c>
      <c r="L114" s="43">
        <v>258</v>
      </c>
    </row>
    <row r="115" spans="1:12" s="40" customFormat="1" ht="12.75" customHeight="1" x14ac:dyDescent="0.3">
      <c r="A115" s="16">
        <v>1694</v>
      </c>
      <c r="B115" s="17">
        <v>53</v>
      </c>
      <c r="C115" s="17">
        <v>2</v>
      </c>
      <c r="D115" s="17">
        <v>1</v>
      </c>
      <c r="E115" s="18" t="s">
        <v>128</v>
      </c>
      <c r="F115" s="39">
        <v>13645</v>
      </c>
      <c r="G115" s="39">
        <v>629</v>
      </c>
      <c r="H115" s="39">
        <v>1504</v>
      </c>
      <c r="I115" s="39">
        <v>15777</v>
      </c>
      <c r="J115" s="39">
        <v>521</v>
      </c>
      <c r="K115" s="39">
        <v>16298</v>
      </c>
      <c r="L115" s="43">
        <v>1683</v>
      </c>
    </row>
    <row r="116" spans="1:12" s="40" customFormat="1" ht="12.75" customHeight="1" x14ac:dyDescent="0.3">
      <c r="A116" s="16">
        <v>1729</v>
      </c>
      <c r="B116" s="17">
        <v>18</v>
      </c>
      <c r="C116" s="17">
        <v>10</v>
      </c>
      <c r="D116" s="17">
        <v>1</v>
      </c>
      <c r="E116" s="18" t="s">
        <v>129</v>
      </c>
      <c r="F116" s="39">
        <v>12147</v>
      </c>
      <c r="G116" s="39">
        <v>549</v>
      </c>
      <c r="H116" s="39">
        <v>3025</v>
      </c>
      <c r="I116" s="39">
        <v>15721</v>
      </c>
      <c r="J116" s="39">
        <v>717</v>
      </c>
      <c r="K116" s="39">
        <v>16437</v>
      </c>
      <c r="L116" s="43">
        <v>777</v>
      </c>
    </row>
    <row r="117" spans="1:12" s="40" customFormat="1" ht="12.75" customHeight="1" x14ac:dyDescent="0.3">
      <c r="A117" s="16">
        <v>1736</v>
      </c>
      <c r="B117" s="17">
        <v>11</v>
      </c>
      <c r="C117" s="17">
        <v>5</v>
      </c>
      <c r="D117" s="17">
        <v>1</v>
      </c>
      <c r="E117" s="18" t="s">
        <v>130</v>
      </c>
      <c r="F117" s="39">
        <v>14554</v>
      </c>
      <c r="G117" s="39">
        <v>222</v>
      </c>
      <c r="H117" s="39">
        <v>1241</v>
      </c>
      <c r="I117" s="39">
        <v>16016</v>
      </c>
      <c r="J117" s="39">
        <v>1179</v>
      </c>
      <c r="K117" s="39">
        <v>17194</v>
      </c>
      <c r="L117" s="43">
        <v>499</v>
      </c>
    </row>
    <row r="118" spans="1:12" s="40" customFormat="1" ht="12.75" customHeight="1" x14ac:dyDescent="0.3">
      <c r="A118" s="16">
        <v>1813</v>
      </c>
      <c r="B118" s="17">
        <v>22</v>
      </c>
      <c r="C118" s="17">
        <v>3</v>
      </c>
      <c r="D118" s="17">
        <v>1</v>
      </c>
      <c r="E118" s="18" t="s">
        <v>131</v>
      </c>
      <c r="F118" s="39">
        <v>14191</v>
      </c>
      <c r="G118" s="39">
        <v>784</v>
      </c>
      <c r="H118" s="39">
        <v>2281</v>
      </c>
      <c r="I118" s="39">
        <v>17256</v>
      </c>
      <c r="J118" s="39">
        <v>837</v>
      </c>
      <c r="K118" s="39">
        <v>18093</v>
      </c>
      <c r="L118" s="43">
        <v>744</v>
      </c>
    </row>
    <row r="119" spans="1:12" s="40" customFormat="1" ht="12.75" customHeight="1" x14ac:dyDescent="0.3">
      <c r="A119" s="16">
        <v>5757</v>
      </c>
      <c r="B119" s="17">
        <v>54</v>
      </c>
      <c r="C119" s="17">
        <v>10</v>
      </c>
      <c r="D119" s="17">
        <v>1</v>
      </c>
      <c r="E119" s="18" t="s">
        <v>132</v>
      </c>
      <c r="F119" s="39">
        <v>15828</v>
      </c>
      <c r="G119" s="39">
        <v>1636</v>
      </c>
      <c r="H119" s="39">
        <v>949</v>
      </c>
      <c r="I119" s="39">
        <v>18413</v>
      </c>
      <c r="J119" s="39">
        <v>1241</v>
      </c>
      <c r="K119" s="39">
        <v>19654</v>
      </c>
      <c r="L119" s="43">
        <v>541</v>
      </c>
    </row>
    <row r="120" spans="1:12" s="40" customFormat="1" ht="12.75" customHeight="1" x14ac:dyDescent="0.3">
      <c r="A120" s="16">
        <v>1855</v>
      </c>
      <c r="B120" s="17">
        <v>19</v>
      </c>
      <c r="C120" s="17">
        <v>8</v>
      </c>
      <c r="D120" s="17">
        <v>1</v>
      </c>
      <c r="E120" s="18" t="s">
        <v>133</v>
      </c>
      <c r="F120" s="39">
        <v>18267</v>
      </c>
      <c r="G120" s="39">
        <v>976</v>
      </c>
      <c r="H120" s="39">
        <v>2038</v>
      </c>
      <c r="I120" s="39">
        <v>21281</v>
      </c>
      <c r="J120" s="39">
        <v>595</v>
      </c>
      <c r="K120" s="39">
        <v>21876</v>
      </c>
      <c r="L120" s="43">
        <v>444</v>
      </c>
    </row>
    <row r="121" spans="1:12" s="40" customFormat="1" ht="12.75" customHeight="1" x14ac:dyDescent="0.3">
      <c r="A121" s="16">
        <v>1862</v>
      </c>
      <c r="B121" s="17">
        <v>20</v>
      </c>
      <c r="C121" s="17">
        <v>6</v>
      </c>
      <c r="D121" s="17">
        <v>1</v>
      </c>
      <c r="E121" s="18" t="s">
        <v>134</v>
      </c>
      <c r="F121" s="39">
        <v>14311</v>
      </c>
      <c r="G121" s="39">
        <v>240</v>
      </c>
      <c r="H121" s="39">
        <v>1587</v>
      </c>
      <c r="I121" s="39">
        <v>16138</v>
      </c>
      <c r="J121" s="39">
        <v>858</v>
      </c>
      <c r="K121" s="39">
        <v>16996</v>
      </c>
      <c r="L121" s="43">
        <v>7317</v>
      </c>
    </row>
    <row r="122" spans="1:12" s="40" customFormat="1" ht="12.75" customHeight="1" x14ac:dyDescent="0.3">
      <c r="A122" s="16">
        <v>1870</v>
      </c>
      <c r="B122" s="17">
        <v>64</v>
      </c>
      <c r="C122" s="17">
        <v>2</v>
      </c>
      <c r="D122" s="17">
        <v>3</v>
      </c>
      <c r="E122" s="18" t="s">
        <v>135</v>
      </c>
      <c r="F122" s="39">
        <v>26514</v>
      </c>
      <c r="G122" s="39">
        <v>782</v>
      </c>
      <c r="H122" s="39">
        <v>2974</v>
      </c>
      <c r="I122" s="39">
        <v>30271</v>
      </c>
      <c r="J122" s="39">
        <v>3995</v>
      </c>
      <c r="K122" s="39">
        <v>34266</v>
      </c>
      <c r="L122" s="43">
        <v>139</v>
      </c>
    </row>
    <row r="123" spans="1:12" s="40" customFormat="1" ht="12.75" customHeight="1" x14ac:dyDescent="0.3">
      <c r="A123" s="16">
        <v>1883</v>
      </c>
      <c r="B123" s="17">
        <v>28</v>
      </c>
      <c r="C123" s="17">
        <v>2</v>
      </c>
      <c r="D123" s="17">
        <v>1</v>
      </c>
      <c r="E123" s="18" t="s">
        <v>136</v>
      </c>
      <c r="F123" s="39">
        <v>15915</v>
      </c>
      <c r="G123" s="39">
        <v>441</v>
      </c>
      <c r="H123" s="39">
        <v>3576</v>
      </c>
      <c r="I123" s="39">
        <v>19932</v>
      </c>
      <c r="J123" s="39">
        <v>605</v>
      </c>
      <c r="K123" s="39">
        <v>20537</v>
      </c>
      <c r="L123" s="43">
        <v>2542</v>
      </c>
    </row>
    <row r="124" spans="1:12" s="40" customFormat="1" ht="12.75" customHeight="1" x14ac:dyDescent="0.3">
      <c r="A124" s="16">
        <v>1890</v>
      </c>
      <c r="B124" s="17">
        <v>40</v>
      </c>
      <c r="C124" s="17">
        <v>1</v>
      </c>
      <c r="D124" s="17">
        <v>3</v>
      </c>
      <c r="E124" s="18" t="s">
        <v>137</v>
      </c>
      <c r="F124" s="39">
        <v>16702</v>
      </c>
      <c r="G124" s="39">
        <v>936</v>
      </c>
      <c r="H124" s="39">
        <v>7103</v>
      </c>
      <c r="I124" s="39">
        <v>24741</v>
      </c>
      <c r="J124" s="39">
        <v>394</v>
      </c>
      <c r="K124" s="39">
        <v>25135</v>
      </c>
      <c r="L124" s="43">
        <v>787</v>
      </c>
    </row>
    <row r="125" spans="1:12" s="40" customFormat="1" ht="12.75" customHeight="1" x14ac:dyDescent="0.3">
      <c r="A125" s="16">
        <v>1900</v>
      </c>
      <c r="B125" s="17">
        <v>40</v>
      </c>
      <c r="C125" s="17">
        <v>1</v>
      </c>
      <c r="D125" s="17">
        <v>1</v>
      </c>
      <c r="E125" s="18" t="s">
        <v>138</v>
      </c>
      <c r="F125" s="39">
        <v>13200</v>
      </c>
      <c r="G125" s="39">
        <v>657</v>
      </c>
      <c r="H125" s="39">
        <v>1940</v>
      </c>
      <c r="I125" s="39">
        <v>15797</v>
      </c>
      <c r="J125" s="39">
        <v>864</v>
      </c>
      <c r="K125" s="39">
        <v>16661</v>
      </c>
      <c r="L125" s="43">
        <v>4524</v>
      </c>
    </row>
    <row r="126" spans="1:12" s="40" customFormat="1" ht="12.75" customHeight="1" x14ac:dyDescent="0.3">
      <c r="A126" s="16">
        <v>1939</v>
      </c>
      <c r="B126" s="17">
        <v>48</v>
      </c>
      <c r="C126" s="17">
        <v>11</v>
      </c>
      <c r="D126" s="17">
        <v>1</v>
      </c>
      <c r="E126" s="18" t="s">
        <v>139</v>
      </c>
      <c r="F126" s="39">
        <v>15670</v>
      </c>
      <c r="G126" s="39">
        <v>883</v>
      </c>
      <c r="H126" s="39">
        <v>954</v>
      </c>
      <c r="I126" s="39">
        <v>17507</v>
      </c>
      <c r="J126" s="39">
        <v>2895</v>
      </c>
      <c r="K126" s="39">
        <v>20402</v>
      </c>
      <c r="L126" s="43">
        <v>499</v>
      </c>
    </row>
    <row r="127" spans="1:12" s="40" customFormat="1" ht="12.75" customHeight="1" x14ac:dyDescent="0.3">
      <c r="A127" s="16">
        <v>1953</v>
      </c>
      <c r="B127" s="17">
        <v>44</v>
      </c>
      <c r="C127" s="17">
        <v>6</v>
      </c>
      <c r="D127" s="17">
        <v>1</v>
      </c>
      <c r="E127" s="18" t="s">
        <v>140</v>
      </c>
      <c r="F127" s="39">
        <v>13698</v>
      </c>
      <c r="G127" s="39">
        <v>581</v>
      </c>
      <c r="H127" s="39">
        <v>0</v>
      </c>
      <c r="I127" s="39">
        <v>14279</v>
      </c>
      <c r="J127" s="39">
        <v>390</v>
      </c>
      <c r="K127" s="39">
        <v>14669</v>
      </c>
      <c r="L127" s="43">
        <v>1585</v>
      </c>
    </row>
    <row r="128" spans="1:12" s="40" customFormat="1" ht="12.75" customHeight="1" x14ac:dyDescent="0.3">
      <c r="A128" s="16">
        <v>2009</v>
      </c>
      <c r="B128" s="17">
        <v>61</v>
      </c>
      <c r="C128" s="17">
        <v>4</v>
      </c>
      <c r="D128" s="17">
        <v>1</v>
      </c>
      <c r="E128" s="18" t="s">
        <v>450</v>
      </c>
      <c r="F128" s="39">
        <v>14795</v>
      </c>
      <c r="G128" s="39">
        <v>778</v>
      </c>
      <c r="H128" s="39">
        <v>1368</v>
      </c>
      <c r="I128" s="39">
        <v>16941</v>
      </c>
      <c r="J128" s="39">
        <v>740</v>
      </c>
      <c r="K128" s="39">
        <v>17681</v>
      </c>
      <c r="L128" s="43">
        <v>1470</v>
      </c>
    </row>
    <row r="129" spans="1:12" s="40" customFormat="1" ht="12.75" customHeight="1" x14ac:dyDescent="0.3">
      <c r="A129" s="16">
        <v>2044</v>
      </c>
      <c r="B129" s="17">
        <v>64</v>
      </c>
      <c r="C129" s="17">
        <v>2</v>
      </c>
      <c r="D129" s="17">
        <v>3</v>
      </c>
      <c r="E129" s="18" t="s">
        <v>141</v>
      </c>
      <c r="F129" s="39">
        <v>26139</v>
      </c>
      <c r="G129" s="39">
        <v>1038</v>
      </c>
      <c r="H129" s="39">
        <v>3495</v>
      </c>
      <c r="I129" s="39">
        <v>30673</v>
      </c>
      <c r="J129" s="39">
        <v>734</v>
      </c>
      <c r="K129" s="39">
        <v>31407</v>
      </c>
      <c r="L129" s="43">
        <v>89</v>
      </c>
    </row>
    <row r="130" spans="1:12" s="40" customFormat="1" ht="12.75" customHeight="1" x14ac:dyDescent="0.3">
      <c r="A130" s="16">
        <v>2051</v>
      </c>
      <c r="B130" s="17">
        <v>64</v>
      </c>
      <c r="C130" s="17">
        <v>2</v>
      </c>
      <c r="D130" s="17">
        <v>3</v>
      </c>
      <c r="E130" s="18" t="s">
        <v>142</v>
      </c>
      <c r="F130" s="39">
        <v>14426</v>
      </c>
      <c r="G130" s="39">
        <v>509</v>
      </c>
      <c r="H130" s="39">
        <v>1359</v>
      </c>
      <c r="I130" s="39">
        <v>16294</v>
      </c>
      <c r="J130" s="39">
        <v>103</v>
      </c>
      <c r="K130" s="39">
        <v>16398</v>
      </c>
      <c r="L130" s="43">
        <v>561</v>
      </c>
    </row>
    <row r="131" spans="1:12" s="40" customFormat="1" ht="12.75" customHeight="1" x14ac:dyDescent="0.3">
      <c r="A131" s="16">
        <v>2058</v>
      </c>
      <c r="B131" s="17">
        <v>66</v>
      </c>
      <c r="C131" s="17">
        <v>1</v>
      </c>
      <c r="D131" s="17">
        <v>1</v>
      </c>
      <c r="E131" s="18" t="s">
        <v>143</v>
      </c>
      <c r="F131" s="39">
        <v>12131</v>
      </c>
      <c r="G131" s="39">
        <v>628</v>
      </c>
      <c r="H131" s="39">
        <v>6680</v>
      </c>
      <c r="I131" s="39">
        <v>19438</v>
      </c>
      <c r="J131" s="39">
        <v>447</v>
      </c>
      <c r="K131" s="39">
        <v>19885</v>
      </c>
      <c r="L131" s="43">
        <v>4025</v>
      </c>
    </row>
    <row r="132" spans="1:12" s="40" customFormat="1" ht="12.75" customHeight="1" x14ac:dyDescent="0.3">
      <c r="A132" s="16">
        <v>2114</v>
      </c>
      <c r="B132" s="17">
        <v>15</v>
      </c>
      <c r="C132" s="17">
        <v>7</v>
      </c>
      <c r="D132" s="17">
        <v>1</v>
      </c>
      <c r="E132" s="18" t="s">
        <v>144</v>
      </c>
      <c r="F132" s="39">
        <v>27914</v>
      </c>
      <c r="G132" s="39">
        <v>1219</v>
      </c>
      <c r="H132" s="39">
        <v>8108</v>
      </c>
      <c r="I132" s="39">
        <v>37242</v>
      </c>
      <c r="J132" s="39">
        <v>705</v>
      </c>
      <c r="K132" s="39">
        <v>37947</v>
      </c>
      <c r="L132" s="43">
        <v>511</v>
      </c>
    </row>
    <row r="133" spans="1:12" s="40" customFormat="1" ht="12.75" customHeight="1" x14ac:dyDescent="0.3">
      <c r="A133" s="16">
        <v>2128</v>
      </c>
      <c r="B133" s="17">
        <v>42</v>
      </c>
      <c r="C133" s="17">
        <v>8</v>
      </c>
      <c r="D133" s="17">
        <v>1</v>
      </c>
      <c r="E133" s="18" t="s">
        <v>145</v>
      </c>
      <c r="F133" s="39">
        <v>14413</v>
      </c>
      <c r="G133" s="39">
        <v>874</v>
      </c>
      <c r="H133" s="39">
        <v>1119</v>
      </c>
      <c r="I133" s="39">
        <v>16406</v>
      </c>
      <c r="J133" s="39">
        <v>987</v>
      </c>
      <c r="K133" s="39">
        <v>17393</v>
      </c>
      <c r="L133" s="43">
        <v>623</v>
      </c>
    </row>
    <row r="134" spans="1:12" s="40" customFormat="1" ht="12.75" customHeight="1" x14ac:dyDescent="0.3">
      <c r="A134" s="16">
        <v>2135</v>
      </c>
      <c r="B134" s="17">
        <v>60</v>
      </c>
      <c r="C134" s="17">
        <v>10</v>
      </c>
      <c r="D134" s="17">
        <v>1</v>
      </c>
      <c r="E134" s="18" t="s">
        <v>146</v>
      </c>
      <c r="F134" s="39">
        <v>16541</v>
      </c>
      <c r="G134" s="39">
        <v>1556</v>
      </c>
      <c r="H134" s="39">
        <v>738</v>
      </c>
      <c r="I134" s="39">
        <v>18835</v>
      </c>
      <c r="J134" s="39">
        <v>823</v>
      </c>
      <c r="K134" s="39">
        <v>19658</v>
      </c>
      <c r="L134" s="43">
        <v>336</v>
      </c>
    </row>
    <row r="135" spans="1:12" s="40" customFormat="1" ht="12.75" customHeight="1" x14ac:dyDescent="0.3">
      <c r="A135" s="16">
        <v>2142</v>
      </c>
      <c r="B135" s="17">
        <v>6</v>
      </c>
      <c r="C135" s="17">
        <v>10</v>
      </c>
      <c r="D135" s="17">
        <v>1</v>
      </c>
      <c r="E135" s="18" t="s">
        <v>147</v>
      </c>
      <c r="F135" s="39">
        <v>18502</v>
      </c>
      <c r="G135" s="39">
        <v>1189</v>
      </c>
      <c r="H135" s="39">
        <v>938</v>
      </c>
      <c r="I135" s="39">
        <v>20629</v>
      </c>
      <c r="J135" s="39">
        <v>874</v>
      </c>
      <c r="K135" s="39">
        <v>21503</v>
      </c>
      <c r="L135" s="43">
        <v>147</v>
      </c>
    </row>
    <row r="136" spans="1:12" s="40" customFormat="1" ht="12.75" customHeight="1" x14ac:dyDescent="0.3">
      <c r="A136" s="16">
        <v>2184</v>
      </c>
      <c r="B136" s="17">
        <v>40</v>
      </c>
      <c r="C136" s="17">
        <v>1</v>
      </c>
      <c r="D136" s="17">
        <v>3</v>
      </c>
      <c r="E136" s="18" t="s">
        <v>148</v>
      </c>
      <c r="F136" s="39">
        <v>20089</v>
      </c>
      <c r="G136" s="39">
        <v>1291</v>
      </c>
      <c r="H136" s="39">
        <v>40</v>
      </c>
      <c r="I136" s="39">
        <v>21420</v>
      </c>
      <c r="J136" s="39">
        <v>684</v>
      </c>
      <c r="K136" s="39">
        <v>22104</v>
      </c>
      <c r="L136" s="43">
        <v>972</v>
      </c>
    </row>
    <row r="137" spans="1:12" s="40" customFormat="1" ht="12.75" customHeight="1" x14ac:dyDescent="0.3">
      <c r="A137" s="16">
        <v>2198</v>
      </c>
      <c r="B137" s="17">
        <v>55</v>
      </c>
      <c r="C137" s="17">
        <v>11</v>
      </c>
      <c r="D137" s="17">
        <v>1</v>
      </c>
      <c r="E137" s="18" t="s">
        <v>149</v>
      </c>
      <c r="F137" s="39">
        <v>11920</v>
      </c>
      <c r="G137" s="39">
        <v>610</v>
      </c>
      <c r="H137" s="39">
        <v>1449</v>
      </c>
      <c r="I137" s="39">
        <v>13979</v>
      </c>
      <c r="J137" s="39">
        <v>2226</v>
      </c>
      <c r="K137" s="39">
        <v>16205</v>
      </c>
      <c r="L137" s="43">
        <v>723</v>
      </c>
    </row>
    <row r="138" spans="1:12" s="40" customFormat="1" ht="12.75" customHeight="1" x14ac:dyDescent="0.3">
      <c r="A138" s="16">
        <v>2212</v>
      </c>
      <c r="B138" s="17">
        <v>38</v>
      </c>
      <c r="C138" s="17">
        <v>8</v>
      </c>
      <c r="D138" s="17">
        <v>1</v>
      </c>
      <c r="E138" s="18" t="s">
        <v>150</v>
      </c>
      <c r="F138" s="39">
        <v>26821</v>
      </c>
      <c r="G138" s="39">
        <v>847</v>
      </c>
      <c r="H138" s="39">
        <v>2673</v>
      </c>
      <c r="I138" s="39">
        <v>30341</v>
      </c>
      <c r="J138" s="39">
        <v>1377</v>
      </c>
      <c r="K138" s="39">
        <v>31719</v>
      </c>
      <c r="L138" s="43">
        <v>86</v>
      </c>
    </row>
    <row r="139" spans="1:12" s="40" customFormat="1" ht="12.75" customHeight="1" x14ac:dyDescent="0.3">
      <c r="A139" s="16">
        <v>2217</v>
      </c>
      <c r="B139" s="17">
        <v>45</v>
      </c>
      <c r="C139" s="17">
        <v>1</v>
      </c>
      <c r="D139" s="17">
        <v>1</v>
      </c>
      <c r="E139" s="18" t="s">
        <v>151</v>
      </c>
      <c r="F139" s="39">
        <v>12735</v>
      </c>
      <c r="G139" s="39">
        <v>522</v>
      </c>
      <c r="H139" s="39">
        <v>3592</v>
      </c>
      <c r="I139" s="39">
        <v>16848</v>
      </c>
      <c r="J139" s="39">
        <v>477</v>
      </c>
      <c r="K139" s="39">
        <v>17326</v>
      </c>
      <c r="L139" s="43">
        <v>2125</v>
      </c>
    </row>
    <row r="140" spans="1:12" s="40" customFormat="1" ht="12.75" customHeight="1" x14ac:dyDescent="0.3">
      <c r="A140" s="16">
        <v>2226</v>
      </c>
      <c r="B140" s="17">
        <v>10</v>
      </c>
      <c r="C140" s="17">
        <v>10</v>
      </c>
      <c r="D140" s="17">
        <v>1</v>
      </c>
      <c r="E140" s="18" t="s">
        <v>152</v>
      </c>
      <c r="F140" s="39">
        <v>18085</v>
      </c>
      <c r="G140" s="39">
        <v>6726</v>
      </c>
      <c r="H140" s="39">
        <v>818</v>
      </c>
      <c r="I140" s="39">
        <v>25630</v>
      </c>
      <c r="J140" s="39">
        <v>2189</v>
      </c>
      <c r="K140" s="39">
        <v>27820</v>
      </c>
      <c r="L140" s="43">
        <v>257</v>
      </c>
    </row>
    <row r="141" spans="1:12" s="40" customFormat="1" ht="12.75" customHeight="1" x14ac:dyDescent="0.3">
      <c r="A141" s="16">
        <v>2233</v>
      </c>
      <c r="B141" s="17">
        <v>7</v>
      </c>
      <c r="C141" s="17">
        <v>11</v>
      </c>
      <c r="D141" s="17">
        <v>1</v>
      </c>
      <c r="E141" s="18" t="s">
        <v>153</v>
      </c>
      <c r="F141" s="39">
        <v>12198</v>
      </c>
      <c r="G141" s="39">
        <v>906</v>
      </c>
      <c r="H141" s="39">
        <v>2339</v>
      </c>
      <c r="I141" s="39">
        <v>15443</v>
      </c>
      <c r="J141" s="39">
        <v>1018</v>
      </c>
      <c r="K141" s="39">
        <v>16460</v>
      </c>
      <c r="L141" s="43">
        <v>886</v>
      </c>
    </row>
    <row r="142" spans="1:12" s="40" customFormat="1" ht="12.75" customHeight="1" x14ac:dyDescent="0.3">
      <c r="A142" s="16">
        <v>2289</v>
      </c>
      <c r="B142" s="17">
        <v>5</v>
      </c>
      <c r="C142" s="17">
        <v>7</v>
      </c>
      <c r="D142" s="17">
        <v>1</v>
      </c>
      <c r="E142" s="18" t="s">
        <v>154</v>
      </c>
      <c r="F142" s="39">
        <v>15571</v>
      </c>
      <c r="G142" s="39">
        <v>466</v>
      </c>
      <c r="H142" s="39">
        <v>2257</v>
      </c>
      <c r="I142" s="39">
        <v>18295</v>
      </c>
      <c r="J142" s="39">
        <v>759</v>
      </c>
      <c r="K142" s="39">
        <v>19054</v>
      </c>
      <c r="L142" s="43">
        <v>21121</v>
      </c>
    </row>
    <row r="143" spans="1:12" s="40" customFormat="1" ht="12.75" customHeight="1" x14ac:dyDescent="0.3">
      <c r="A143" s="16">
        <v>2310</v>
      </c>
      <c r="B143" s="17">
        <v>24</v>
      </c>
      <c r="C143" s="17">
        <v>6</v>
      </c>
      <c r="D143" s="17">
        <v>1</v>
      </c>
      <c r="E143" s="18" t="s">
        <v>155</v>
      </c>
      <c r="F143" s="39">
        <v>21535</v>
      </c>
      <c r="G143" s="39">
        <v>494</v>
      </c>
      <c r="H143" s="39">
        <v>0</v>
      </c>
      <c r="I143" s="39">
        <v>22029</v>
      </c>
      <c r="J143" s="39">
        <v>1002</v>
      </c>
      <c r="K143" s="39">
        <v>23031</v>
      </c>
      <c r="L143" s="43">
        <v>240</v>
      </c>
    </row>
    <row r="144" spans="1:12" s="40" customFormat="1" ht="12.75" customHeight="1" x14ac:dyDescent="0.3">
      <c r="A144" s="16">
        <v>2296</v>
      </c>
      <c r="B144" s="17">
        <v>40</v>
      </c>
      <c r="C144" s="17">
        <v>1</v>
      </c>
      <c r="D144" s="17">
        <v>1</v>
      </c>
      <c r="E144" s="18" t="s">
        <v>156</v>
      </c>
      <c r="F144" s="39">
        <v>14919</v>
      </c>
      <c r="G144" s="39">
        <v>270</v>
      </c>
      <c r="H144" s="39">
        <v>2900</v>
      </c>
      <c r="I144" s="39">
        <v>18089</v>
      </c>
      <c r="J144" s="39">
        <v>1328</v>
      </c>
      <c r="K144" s="39">
        <v>19417</v>
      </c>
      <c r="L144" s="43">
        <v>2493</v>
      </c>
    </row>
    <row r="145" spans="1:12" s="40" customFormat="1" ht="12.75" customHeight="1" x14ac:dyDescent="0.3">
      <c r="A145" s="16">
        <v>2303</v>
      </c>
      <c r="B145" s="17">
        <v>40</v>
      </c>
      <c r="C145" s="17">
        <v>1</v>
      </c>
      <c r="D145" s="17">
        <v>1</v>
      </c>
      <c r="E145" s="18" t="s">
        <v>157</v>
      </c>
      <c r="F145" s="39">
        <v>13637</v>
      </c>
      <c r="G145" s="39">
        <v>472</v>
      </c>
      <c r="H145" s="39">
        <v>1439</v>
      </c>
      <c r="I145" s="39">
        <v>15548</v>
      </c>
      <c r="J145" s="39">
        <v>675</v>
      </c>
      <c r="K145" s="39">
        <v>16223</v>
      </c>
      <c r="L145" s="43">
        <v>3605</v>
      </c>
    </row>
    <row r="146" spans="1:12" s="40" customFormat="1" ht="12.75" customHeight="1" x14ac:dyDescent="0.3">
      <c r="A146" s="16">
        <v>2394</v>
      </c>
      <c r="B146" s="17">
        <v>10</v>
      </c>
      <c r="C146" s="17">
        <v>10</v>
      </c>
      <c r="D146" s="17">
        <v>1</v>
      </c>
      <c r="E146" s="18" t="s">
        <v>158</v>
      </c>
      <c r="F146" s="39">
        <v>17135</v>
      </c>
      <c r="G146" s="39">
        <v>1314</v>
      </c>
      <c r="H146" s="39">
        <v>1475</v>
      </c>
      <c r="I146" s="39">
        <v>19925</v>
      </c>
      <c r="J146" s="39">
        <v>940</v>
      </c>
      <c r="K146" s="39">
        <v>20866</v>
      </c>
      <c r="L146" s="43">
        <v>391</v>
      </c>
    </row>
    <row r="147" spans="1:12" s="40" customFormat="1" ht="12.75" customHeight="1" x14ac:dyDescent="0.3">
      <c r="A147" s="16">
        <v>2415</v>
      </c>
      <c r="B147" s="17">
        <v>58</v>
      </c>
      <c r="C147" s="17">
        <v>8</v>
      </c>
      <c r="D147" s="17">
        <v>1</v>
      </c>
      <c r="E147" s="18" t="s">
        <v>159</v>
      </c>
      <c r="F147" s="39">
        <v>18711</v>
      </c>
      <c r="G147" s="39">
        <v>865</v>
      </c>
      <c r="H147" s="39">
        <v>3701</v>
      </c>
      <c r="I147" s="39">
        <v>23277</v>
      </c>
      <c r="J147" s="39">
        <v>1239</v>
      </c>
      <c r="K147" s="39">
        <v>24516</v>
      </c>
      <c r="L147" s="43">
        <v>273</v>
      </c>
    </row>
    <row r="148" spans="1:12" s="40" customFormat="1" ht="12.75" customHeight="1" x14ac:dyDescent="0.3">
      <c r="A148" s="16">
        <v>2420</v>
      </c>
      <c r="B148" s="17">
        <v>67</v>
      </c>
      <c r="C148" s="17">
        <v>1</v>
      </c>
      <c r="D148" s="17">
        <v>1</v>
      </c>
      <c r="E148" s="18" t="s">
        <v>160</v>
      </c>
      <c r="F148" s="39">
        <v>12643</v>
      </c>
      <c r="G148" s="39">
        <v>631</v>
      </c>
      <c r="H148" s="39">
        <v>2031</v>
      </c>
      <c r="I148" s="39">
        <v>15305</v>
      </c>
      <c r="J148" s="39">
        <v>382</v>
      </c>
      <c r="K148" s="39">
        <v>15687</v>
      </c>
      <c r="L148" s="43">
        <v>5351</v>
      </c>
    </row>
    <row r="149" spans="1:12" s="40" customFormat="1" ht="12.75" customHeight="1" x14ac:dyDescent="0.3">
      <c r="A149" s="16">
        <v>2443</v>
      </c>
      <c r="B149" s="17">
        <v>66</v>
      </c>
      <c r="C149" s="17">
        <v>6</v>
      </c>
      <c r="D149" s="17">
        <v>3</v>
      </c>
      <c r="E149" s="18" t="s">
        <v>161</v>
      </c>
      <c r="F149" s="39">
        <v>12649</v>
      </c>
      <c r="G149" s="39">
        <v>341</v>
      </c>
      <c r="H149" s="39">
        <v>2208</v>
      </c>
      <c r="I149" s="39">
        <v>15198</v>
      </c>
      <c r="J149" s="39">
        <v>618</v>
      </c>
      <c r="K149" s="39">
        <v>15816</v>
      </c>
      <c r="L149" s="43">
        <v>1778</v>
      </c>
    </row>
    <row r="150" spans="1:12" s="40" customFormat="1" ht="12.75" customHeight="1" x14ac:dyDescent="0.3">
      <c r="A150" s="16">
        <v>2436</v>
      </c>
      <c r="B150" s="17">
        <v>66</v>
      </c>
      <c r="C150" s="17">
        <v>6</v>
      </c>
      <c r="D150" s="17">
        <v>2</v>
      </c>
      <c r="E150" s="18" t="s">
        <v>162</v>
      </c>
      <c r="F150" s="39">
        <v>13452</v>
      </c>
      <c r="G150" s="39">
        <v>570</v>
      </c>
      <c r="H150" s="39">
        <v>770</v>
      </c>
      <c r="I150" s="39">
        <v>14792</v>
      </c>
      <c r="J150" s="39">
        <v>713</v>
      </c>
      <c r="K150" s="39">
        <v>15505</v>
      </c>
      <c r="L150" s="43">
        <v>1534</v>
      </c>
    </row>
    <row r="151" spans="1:12" s="40" customFormat="1" ht="12.75" customHeight="1" x14ac:dyDescent="0.3">
      <c r="A151" s="16">
        <v>2460</v>
      </c>
      <c r="B151" s="17">
        <v>67</v>
      </c>
      <c r="C151" s="17">
        <v>1</v>
      </c>
      <c r="D151" s="17">
        <v>3</v>
      </c>
      <c r="E151" s="18" t="s">
        <v>163</v>
      </c>
      <c r="F151" s="39">
        <v>12437</v>
      </c>
      <c r="G151" s="39">
        <v>407</v>
      </c>
      <c r="H151" s="39">
        <v>71</v>
      </c>
      <c r="I151" s="39">
        <v>12915</v>
      </c>
      <c r="J151" s="39">
        <v>1399</v>
      </c>
      <c r="K151" s="39">
        <v>14314</v>
      </c>
      <c r="L151" s="43">
        <v>1206</v>
      </c>
    </row>
    <row r="152" spans="1:12" s="40" customFormat="1" ht="12.75" customHeight="1" x14ac:dyDescent="0.3">
      <c r="A152" s="16">
        <v>2478</v>
      </c>
      <c r="B152" s="17">
        <v>57</v>
      </c>
      <c r="C152" s="17">
        <v>12</v>
      </c>
      <c r="D152" s="17">
        <v>1</v>
      </c>
      <c r="E152" s="18" t="s">
        <v>164</v>
      </c>
      <c r="F152" s="39">
        <v>16439</v>
      </c>
      <c r="G152" s="39">
        <v>1004</v>
      </c>
      <c r="H152" s="39">
        <v>2426</v>
      </c>
      <c r="I152" s="39">
        <v>19868</v>
      </c>
      <c r="J152" s="39">
        <v>755</v>
      </c>
      <c r="K152" s="39">
        <v>20623</v>
      </c>
      <c r="L152" s="43">
        <v>1673</v>
      </c>
    </row>
    <row r="153" spans="1:12" s="40" customFormat="1" ht="12.75" customHeight="1" x14ac:dyDescent="0.3">
      <c r="A153" s="16">
        <v>2525</v>
      </c>
      <c r="B153" s="17">
        <v>14</v>
      </c>
      <c r="C153" s="17">
        <v>6</v>
      </c>
      <c r="D153" s="17">
        <v>3</v>
      </c>
      <c r="E153" s="18" t="s">
        <v>451</v>
      </c>
      <c r="F153" s="39">
        <v>13470</v>
      </c>
      <c r="G153" s="39">
        <v>693</v>
      </c>
      <c r="H153" s="39">
        <v>0</v>
      </c>
      <c r="I153" s="39">
        <v>14163</v>
      </c>
      <c r="J153" s="39">
        <v>519</v>
      </c>
      <c r="K153" s="39">
        <v>14681</v>
      </c>
      <c r="L153" s="43">
        <v>338</v>
      </c>
    </row>
    <row r="154" spans="1:12" s="40" customFormat="1" ht="12.75" customHeight="1" x14ac:dyDescent="0.3">
      <c r="A154" s="16">
        <v>2527</v>
      </c>
      <c r="B154" s="17">
        <v>25</v>
      </c>
      <c r="C154" s="17">
        <v>3</v>
      </c>
      <c r="D154" s="17">
        <v>1</v>
      </c>
      <c r="E154" s="18" t="s">
        <v>165</v>
      </c>
      <c r="F154" s="39">
        <v>16548</v>
      </c>
      <c r="G154" s="39">
        <v>567</v>
      </c>
      <c r="H154" s="39">
        <v>1184</v>
      </c>
      <c r="I154" s="39">
        <v>18299</v>
      </c>
      <c r="J154" s="39">
        <v>641</v>
      </c>
      <c r="K154" s="39">
        <v>18940</v>
      </c>
      <c r="L154" s="43">
        <v>293</v>
      </c>
    </row>
    <row r="155" spans="1:12" s="40" customFormat="1" ht="12.75" customHeight="1" x14ac:dyDescent="0.3">
      <c r="A155" s="16">
        <v>2534</v>
      </c>
      <c r="B155" s="17">
        <v>8</v>
      </c>
      <c r="C155" s="17">
        <v>7</v>
      </c>
      <c r="D155" s="17">
        <v>1</v>
      </c>
      <c r="E155" s="18" t="s">
        <v>166</v>
      </c>
      <c r="F155" s="39">
        <v>13544</v>
      </c>
      <c r="G155" s="39">
        <v>463</v>
      </c>
      <c r="H155" s="39">
        <v>2151</v>
      </c>
      <c r="I155" s="39">
        <v>16158</v>
      </c>
      <c r="J155" s="39">
        <v>822</v>
      </c>
      <c r="K155" s="39">
        <v>16980</v>
      </c>
      <c r="L155" s="43">
        <v>465</v>
      </c>
    </row>
    <row r="156" spans="1:12" s="40" customFormat="1" ht="12.75" customHeight="1" x14ac:dyDescent="0.3">
      <c r="A156" s="16">
        <v>2541</v>
      </c>
      <c r="B156" s="17">
        <v>62</v>
      </c>
      <c r="C156" s="17">
        <v>4</v>
      </c>
      <c r="D156" s="17">
        <v>1</v>
      </c>
      <c r="E156" s="18" t="s">
        <v>167</v>
      </c>
      <c r="F156" s="39">
        <v>18107</v>
      </c>
      <c r="G156" s="39">
        <v>1007</v>
      </c>
      <c r="H156" s="39">
        <v>1800</v>
      </c>
      <c r="I156" s="39">
        <v>20914</v>
      </c>
      <c r="J156" s="39">
        <v>916</v>
      </c>
      <c r="K156" s="39">
        <v>21830</v>
      </c>
      <c r="L156" s="43">
        <v>461</v>
      </c>
    </row>
    <row r="157" spans="1:12" s="40" customFormat="1" ht="12.75" customHeight="1" x14ac:dyDescent="0.3">
      <c r="A157" s="16">
        <v>2562</v>
      </c>
      <c r="B157" s="17">
        <v>32</v>
      </c>
      <c r="C157" s="17">
        <v>4</v>
      </c>
      <c r="D157" s="17">
        <v>1</v>
      </c>
      <c r="E157" s="18" t="s">
        <v>168</v>
      </c>
      <c r="F157" s="39">
        <v>13661</v>
      </c>
      <c r="G157" s="39">
        <v>541</v>
      </c>
      <c r="H157" s="39">
        <v>2395</v>
      </c>
      <c r="I157" s="39">
        <v>16597</v>
      </c>
      <c r="J157" s="39">
        <v>918</v>
      </c>
      <c r="K157" s="39">
        <v>17515</v>
      </c>
      <c r="L157" s="43">
        <v>4155</v>
      </c>
    </row>
    <row r="158" spans="1:12" s="40" customFormat="1" ht="12.75" customHeight="1" x14ac:dyDescent="0.3">
      <c r="A158" s="40">
        <v>2570</v>
      </c>
      <c r="B158" s="17">
        <v>66</v>
      </c>
      <c r="C158" s="17">
        <v>6</v>
      </c>
      <c r="D158" s="40">
        <v>3</v>
      </c>
      <c r="E158" s="40" t="s">
        <v>452</v>
      </c>
      <c r="F158" s="39">
        <v>15908</v>
      </c>
      <c r="G158" s="39">
        <v>916</v>
      </c>
      <c r="H158" s="39">
        <v>291</v>
      </c>
      <c r="I158" s="39">
        <v>17115</v>
      </c>
      <c r="J158" s="39">
        <v>483</v>
      </c>
      <c r="K158" s="39">
        <v>17598</v>
      </c>
      <c r="L158" s="43">
        <v>506</v>
      </c>
    </row>
    <row r="159" spans="1:12" s="40" customFormat="1" ht="12.75" customHeight="1" x14ac:dyDescent="0.3">
      <c r="A159" s="16">
        <v>2576</v>
      </c>
      <c r="B159" s="17">
        <v>14</v>
      </c>
      <c r="C159" s="17">
        <v>6</v>
      </c>
      <c r="D159" s="17">
        <v>1</v>
      </c>
      <c r="E159" s="18" t="s">
        <v>169</v>
      </c>
      <c r="F159" s="39">
        <v>12428</v>
      </c>
      <c r="G159" s="39">
        <v>432</v>
      </c>
      <c r="H159" s="39">
        <v>2370</v>
      </c>
      <c r="I159" s="39">
        <v>15230</v>
      </c>
      <c r="J159" s="39">
        <v>941</v>
      </c>
      <c r="K159" s="39">
        <v>16171</v>
      </c>
      <c r="L159" s="43">
        <v>886</v>
      </c>
    </row>
    <row r="160" spans="1:12" s="40" customFormat="1" ht="12.75" customHeight="1" x14ac:dyDescent="0.3">
      <c r="A160" s="16">
        <v>2583</v>
      </c>
      <c r="B160" s="17">
        <v>44</v>
      </c>
      <c r="C160" s="17">
        <v>6</v>
      </c>
      <c r="D160" s="17">
        <v>1</v>
      </c>
      <c r="E160" s="18" t="s">
        <v>170</v>
      </c>
      <c r="F160" s="39">
        <v>11904</v>
      </c>
      <c r="G160" s="39">
        <v>826</v>
      </c>
      <c r="H160" s="39">
        <v>1538</v>
      </c>
      <c r="I160" s="39">
        <v>14267</v>
      </c>
      <c r="J160" s="39">
        <v>488</v>
      </c>
      <c r="K160" s="39">
        <v>14755</v>
      </c>
      <c r="L160" s="43">
        <v>4256</v>
      </c>
    </row>
    <row r="161" spans="1:12" s="40" customFormat="1" ht="12.75" customHeight="1" x14ac:dyDescent="0.3">
      <c r="A161" s="16">
        <v>2605</v>
      </c>
      <c r="B161" s="17">
        <v>59</v>
      </c>
      <c r="C161" s="17">
        <v>7</v>
      </c>
      <c r="D161" s="17">
        <v>1</v>
      </c>
      <c r="E161" s="18" t="s">
        <v>171</v>
      </c>
      <c r="F161" s="39">
        <v>13149</v>
      </c>
      <c r="G161" s="39">
        <v>769</v>
      </c>
      <c r="H161" s="39">
        <v>3001</v>
      </c>
      <c r="I161" s="39">
        <v>16920</v>
      </c>
      <c r="J161" s="39">
        <v>667</v>
      </c>
      <c r="K161" s="39">
        <v>17587</v>
      </c>
      <c r="L161" s="43">
        <v>814</v>
      </c>
    </row>
    <row r="162" spans="1:12" s="40" customFormat="1" ht="12.75" customHeight="1" x14ac:dyDescent="0.3">
      <c r="A162" s="16">
        <v>2604</v>
      </c>
      <c r="B162" s="17">
        <v>5</v>
      </c>
      <c r="C162" s="17">
        <v>7</v>
      </c>
      <c r="D162" s="17">
        <v>1</v>
      </c>
      <c r="E162" s="18" t="s">
        <v>172</v>
      </c>
      <c r="F162" s="39">
        <v>13934</v>
      </c>
      <c r="G162" s="39">
        <v>714</v>
      </c>
      <c r="H162" s="39">
        <v>2465</v>
      </c>
      <c r="I162" s="39">
        <v>17113</v>
      </c>
      <c r="J162" s="39">
        <v>893</v>
      </c>
      <c r="K162" s="39">
        <v>18006</v>
      </c>
      <c r="L162" s="43">
        <v>5664</v>
      </c>
    </row>
    <row r="163" spans="1:12" s="40" customFormat="1" ht="12.75" customHeight="1" x14ac:dyDescent="0.3">
      <c r="A163" s="16">
        <v>2611</v>
      </c>
      <c r="B163" s="17">
        <v>55</v>
      </c>
      <c r="C163" s="17">
        <v>11</v>
      </c>
      <c r="D163" s="17">
        <v>1</v>
      </c>
      <c r="E163" s="18" t="s">
        <v>173</v>
      </c>
      <c r="F163" s="39">
        <v>14463</v>
      </c>
      <c r="G163" s="39">
        <v>730</v>
      </c>
      <c r="H163" s="39">
        <v>3962</v>
      </c>
      <c r="I163" s="39">
        <v>19154</v>
      </c>
      <c r="J163" s="39">
        <v>827</v>
      </c>
      <c r="K163" s="39">
        <v>19981</v>
      </c>
      <c r="L163" s="43">
        <v>5257</v>
      </c>
    </row>
    <row r="164" spans="1:12" s="40" customFormat="1" ht="12.75" customHeight="1" x14ac:dyDescent="0.3">
      <c r="A164" s="16">
        <v>2618</v>
      </c>
      <c r="B164" s="17">
        <v>26</v>
      </c>
      <c r="C164" s="17">
        <v>12</v>
      </c>
      <c r="D164" s="17">
        <v>1</v>
      </c>
      <c r="E164" s="18" t="s">
        <v>174</v>
      </c>
      <c r="F164" s="39">
        <v>14251</v>
      </c>
      <c r="G164" s="39">
        <v>1178</v>
      </c>
      <c r="H164" s="39">
        <v>0</v>
      </c>
      <c r="I164" s="39">
        <v>15430</v>
      </c>
      <c r="J164" s="39">
        <v>899</v>
      </c>
      <c r="K164" s="39">
        <v>16329</v>
      </c>
      <c r="L164" s="43">
        <v>544</v>
      </c>
    </row>
    <row r="165" spans="1:12" s="40" customFormat="1" ht="12.75" customHeight="1" x14ac:dyDescent="0.3">
      <c r="A165" s="16">
        <v>2625</v>
      </c>
      <c r="B165" s="17">
        <v>14</v>
      </c>
      <c r="C165" s="17">
        <v>6</v>
      </c>
      <c r="D165" s="17">
        <v>1</v>
      </c>
      <c r="E165" s="18" t="s">
        <v>175</v>
      </c>
      <c r="F165" s="39">
        <v>16428</v>
      </c>
      <c r="G165" s="39">
        <v>900</v>
      </c>
      <c r="H165" s="39">
        <v>914</v>
      </c>
      <c r="I165" s="39">
        <v>18243</v>
      </c>
      <c r="J165" s="39">
        <v>713</v>
      </c>
      <c r="K165" s="39">
        <v>18956</v>
      </c>
      <c r="L165" s="43">
        <v>370</v>
      </c>
    </row>
    <row r="166" spans="1:12" s="40" customFormat="1" ht="12.75" customHeight="1" x14ac:dyDescent="0.3">
      <c r="A166" s="16">
        <v>2632</v>
      </c>
      <c r="B166" s="17">
        <v>61</v>
      </c>
      <c r="C166" s="17">
        <v>4</v>
      </c>
      <c r="D166" s="17">
        <v>1</v>
      </c>
      <c r="E166" s="18" t="s">
        <v>176</v>
      </c>
      <c r="F166" s="39">
        <v>14917</v>
      </c>
      <c r="G166" s="39">
        <v>928</v>
      </c>
      <c r="H166" s="39">
        <v>422</v>
      </c>
      <c r="I166" s="39">
        <v>16268</v>
      </c>
      <c r="J166" s="39">
        <v>673</v>
      </c>
      <c r="K166" s="39">
        <v>16941</v>
      </c>
      <c r="L166" s="43">
        <v>491</v>
      </c>
    </row>
    <row r="167" spans="1:12" s="40" customFormat="1" ht="12.75" customHeight="1" x14ac:dyDescent="0.3">
      <c r="A167" s="16">
        <v>2639</v>
      </c>
      <c r="B167" s="17">
        <v>68</v>
      </c>
      <c r="C167" s="17">
        <v>5</v>
      </c>
      <c r="D167" s="17">
        <v>1</v>
      </c>
      <c r="E167" s="18" t="s">
        <v>177</v>
      </c>
      <c r="F167" s="39">
        <v>15077</v>
      </c>
      <c r="G167" s="39">
        <v>921</v>
      </c>
      <c r="H167" s="39">
        <v>578</v>
      </c>
      <c r="I167" s="39">
        <v>16576</v>
      </c>
      <c r="J167" s="39">
        <v>1192</v>
      </c>
      <c r="K167" s="39">
        <v>17769</v>
      </c>
      <c r="L167" s="43">
        <v>653</v>
      </c>
    </row>
    <row r="168" spans="1:12" s="40" customFormat="1" ht="12.75" customHeight="1" x14ac:dyDescent="0.3">
      <c r="A168" s="16">
        <v>2646</v>
      </c>
      <c r="B168" s="17">
        <v>25</v>
      </c>
      <c r="C168" s="17">
        <v>3</v>
      </c>
      <c r="D168" s="17">
        <v>1</v>
      </c>
      <c r="E168" s="18" t="s">
        <v>178</v>
      </c>
      <c r="F168" s="39">
        <v>15538</v>
      </c>
      <c r="G168" s="39">
        <v>855</v>
      </c>
      <c r="H168" s="39">
        <v>533</v>
      </c>
      <c r="I168" s="39">
        <v>16926</v>
      </c>
      <c r="J168" s="39">
        <v>760</v>
      </c>
      <c r="K168" s="39">
        <v>17686</v>
      </c>
      <c r="L168" s="43">
        <v>683</v>
      </c>
    </row>
    <row r="169" spans="1:12" s="40" customFormat="1" ht="12.75" customHeight="1" x14ac:dyDescent="0.3">
      <c r="A169" s="16">
        <v>2660</v>
      </c>
      <c r="B169" s="17">
        <v>52</v>
      </c>
      <c r="C169" s="17">
        <v>3</v>
      </c>
      <c r="D169" s="17">
        <v>1</v>
      </c>
      <c r="E169" s="18" t="s">
        <v>179</v>
      </c>
      <c r="F169" s="39">
        <v>17957</v>
      </c>
      <c r="G169" s="39">
        <v>799</v>
      </c>
      <c r="H169" s="39">
        <v>1313</v>
      </c>
      <c r="I169" s="39">
        <v>20068</v>
      </c>
      <c r="J169" s="39">
        <v>2345</v>
      </c>
      <c r="K169" s="39">
        <v>22413</v>
      </c>
      <c r="L169" s="43">
        <v>274</v>
      </c>
    </row>
    <row r="170" spans="1:12" s="40" customFormat="1" ht="12.75" customHeight="1" x14ac:dyDescent="0.3">
      <c r="A170" s="16">
        <v>2695</v>
      </c>
      <c r="B170" s="17">
        <v>53</v>
      </c>
      <c r="C170" s="17">
        <v>2</v>
      </c>
      <c r="D170" s="17">
        <v>1</v>
      </c>
      <c r="E170" s="18" t="s">
        <v>180</v>
      </c>
      <c r="F170" s="39">
        <v>13929</v>
      </c>
      <c r="G170" s="39">
        <v>299</v>
      </c>
      <c r="H170" s="39">
        <v>2507</v>
      </c>
      <c r="I170" s="39">
        <v>16735</v>
      </c>
      <c r="J170" s="39">
        <v>713</v>
      </c>
      <c r="K170" s="39">
        <v>17448</v>
      </c>
      <c r="L170" s="43">
        <v>9407</v>
      </c>
    </row>
    <row r="171" spans="1:12" s="40" customFormat="1" ht="12.75" customHeight="1" x14ac:dyDescent="0.3">
      <c r="A171" s="16">
        <v>2702</v>
      </c>
      <c r="B171" s="17">
        <v>28</v>
      </c>
      <c r="C171" s="17">
        <v>2</v>
      </c>
      <c r="D171" s="17">
        <v>1</v>
      </c>
      <c r="E171" s="18" t="s">
        <v>181</v>
      </c>
      <c r="F171" s="39">
        <v>14917</v>
      </c>
      <c r="G171" s="39">
        <v>592</v>
      </c>
      <c r="H171" s="39">
        <v>2732</v>
      </c>
      <c r="I171" s="39">
        <v>18241</v>
      </c>
      <c r="J171" s="39">
        <v>940</v>
      </c>
      <c r="K171" s="39">
        <v>19181</v>
      </c>
      <c r="L171" s="43">
        <v>1733</v>
      </c>
    </row>
    <row r="172" spans="1:12" s="40" customFormat="1" ht="12.75" customHeight="1" x14ac:dyDescent="0.3">
      <c r="A172" s="16">
        <v>2730</v>
      </c>
      <c r="B172" s="17">
        <v>28</v>
      </c>
      <c r="C172" s="17">
        <v>2</v>
      </c>
      <c r="D172" s="17">
        <v>1</v>
      </c>
      <c r="E172" s="18" t="s">
        <v>182</v>
      </c>
      <c r="F172" s="39">
        <v>14409</v>
      </c>
      <c r="G172" s="39">
        <v>617</v>
      </c>
      <c r="H172" s="39">
        <v>7144</v>
      </c>
      <c r="I172" s="39">
        <v>22170</v>
      </c>
      <c r="J172" s="39">
        <v>982</v>
      </c>
      <c r="K172" s="39">
        <v>23151</v>
      </c>
      <c r="L172" s="43">
        <v>757</v>
      </c>
    </row>
    <row r="173" spans="1:12" s="40" customFormat="1" ht="12.75" customHeight="1" x14ac:dyDescent="0.3">
      <c r="A173" s="16">
        <v>2737</v>
      </c>
      <c r="B173" s="17">
        <v>23</v>
      </c>
      <c r="C173" s="17">
        <v>2</v>
      </c>
      <c r="D173" s="17">
        <v>1</v>
      </c>
      <c r="E173" s="18" t="s">
        <v>183</v>
      </c>
      <c r="F173" s="39">
        <v>16502</v>
      </c>
      <c r="G173" s="39">
        <v>428</v>
      </c>
      <c r="H173" s="39">
        <v>1823</v>
      </c>
      <c r="I173" s="39">
        <v>18753</v>
      </c>
      <c r="J173" s="39">
        <v>1663</v>
      </c>
      <c r="K173" s="39">
        <v>20417</v>
      </c>
      <c r="L173" s="43">
        <v>228</v>
      </c>
    </row>
    <row r="174" spans="1:12" s="40" customFormat="1" ht="12.75" customHeight="1" x14ac:dyDescent="0.3">
      <c r="A174" s="16">
        <v>2758</v>
      </c>
      <c r="B174" s="17">
        <v>44</v>
      </c>
      <c r="C174" s="17">
        <v>6</v>
      </c>
      <c r="D174" s="17">
        <v>1</v>
      </c>
      <c r="E174" s="18" t="s">
        <v>184</v>
      </c>
      <c r="F174" s="39">
        <v>11628</v>
      </c>
      <c r="G174" s="39">
        <v>487</v>
      </c>
      <c r="H174" s="39">
        <v>1402</v>
      </c>
      <c r="I174" s="39">
        <v>13517</v>
      </c>
      <c r="J174" s="39">
        <v>445</v>
      </c>
      <c r="K174" s="39">
        <v>13961</v>
      </c>
      <c r="L174" s="43">
        <v>5021</v>
      </c>
    </row>
    <row r="175" spans="1:12" s="40" customFormat="1" ht="12.75" customHeight="1" x14ac:dyDescent="0.3">
      <c r="A175" s="16">
        <v>2793</v>
      </c>
      <c r="B175" s="17">
        <v>30</v>
      </c>
      <c r="C175" s="17">
        <v>1</v>
      </c>
      <c r="D175" s="17">
        <v>1</v>
      </c>
      <c r="E175" s="18" t="s">
        <v>185</v>
      </c>
      <c r="F175" s="39">
        <v>14214</v>
      </c>
      <c r="G175" s="39">
        <v>497</v>
      </c>
      <c r="H175" s="39">
        <v>1331</v>
      </c>
      <c r="I175" s="39">
        <v>16043</v>
      </c>
      <c r="J175" s="39">
        <v>603</v>
      </c>
      <c r="K175" s="39">
        <v>16646</v>
      </c>
      <c r="L175" s="43">
        <v>19673</v>
      </c>
    </row>
    <row r="176" spans="1:12" s="40" customFormat="1" ht="12.75" customHeight="1" x14ac:dyDescent="0.3">
      <c r="A176" s="16">
        <v>1376</v>
      </c>
      <c r="B176" s="17">
        <v>67</v>
      </c>
      <c r="C176" s="17">
        <v>1</v>
      </c>
      <c r="D176" s="17">
        <v>1</v>
      </c>
      <c r="E176" s="18" t="s">
        <v>186</v>
      </c>
      <c r="F176" s="39">
        <v>14171</v>
      </c>
      <c r="G176" s="39">
        <v>886</v>
      </c>
      <c r="H176" s="39">
        <v>1652</v>
      </c>
      <c r="I176" s="39">
        <v>16709</v>
      </c>
      <c r="J176" s="39">
        <v>1138</v>
      </c>
      <c r="K176" s="39">
        <v>17847</v>
      </c>
      <c r="L176" s="43">
        <v>3417</v>
      </c>
    </row>
    <row r="177" spans="1:12" s="40" customFormat="1" ht="12.75" customHeight="1" x14ac:dyDescent="0.3">
      <c r="A177" s="16">
        <v>2800</v>
      </c>
      <c r="B177" s="17">
        <v>66</v>
      </c>
      <c r="C177" s="17">
        <v>6</v>
      </c>
      <c r="D177" s="17">
        <v>1</v>
      </c>
      <c r="E177" s="18" t="s">
        <v>187</v>
      </c>
      <c r="F177" s="39">
        <v>11375</v>
      </c>
      <c r="G177" s="39">
        <v>577</v>
      </c>
      <c r="H177" s="39">
        <v>1982</v>
      </c>
      <c r="I177" s="39">
        <v>13934</v>
      </c>
      <c r="J177" s="39">
        <v>714</v>
      </c>
      <c r="K177" s="39">
        <v>14648</v>
      </c>
      <c r="L177" s="43">
        <v>1884</v>
      </c>
    </row>
    <row r="178" spans="1:12" s="40" customFormat="1" ht="12.75" customHeight="1" x14ac:dyDescent="0.3">
      <c r="A178" s="16">
        <v>2814</v>
      </c>
      <c r="B178" s="17">
        <v>31</v>
      </c>
      <c r="C178" s="17">
        <v>7</v>
      </c>
      <c r="D178" s="17">
        <v>1</v>
      </c>
      <c r="E178" s="18" t="s">
        <v>188</v>
      </c>
      <c r="F178" s="39">
        <v>14767</v>
      </c>
      <c r="G178" s="39">
        <v>506</v>
      </c>
      <c r="H178" s="39">
        <v>1248</v>
      </c>
      <c r="I178" s="39">
        <v>16521</v>
      </c>
      <c r="J178" s="39">
        <v>1143</v>
      </c>
      <c r="K178" s="39">
        <v>17663</v>
      </c>
      <c r="L178" s="43">
        <v>993</v>
      </c>
    </row>
    <row r="179" spans="1:12" s="40" customFormat="1" ht="12.75" customHeight="1" x14ac:dyDescent="0.3">
      <c r="A179" s="16">
        <v>5960</v>
      </c>
      <c r="B179" s="17">
        <v>62</v>
      </c>
      <c r="C179" s="17">
        <v>3</v>
      </c>
      <c r="D179" s="17">
        <v>1</v>
      </c>
      <c r="E179" s="18" t="s">
        <v>189</v>
      </c>
      <c r="F179" s="39">
        <v>14950</v>
      </c>
      <c r="G179" s="39">
        <v>1316</v>
      </c>
      <c r="H179" s="39">
        <v>1469</v>
      </c>
      <c r="I179" s="39">
        <v>17735</v>
      </c>
      <c r="J179" s="39">
        <v>1065</v>
      </c>
      <c r="K179" s="39">
        <v>18800</v>
      </c>
      <c r="L179" s="43">
        <v>431</v>
      </c>
    </row>
    <row r="180" spans="1:12" s="40" customFormat="1" ht="12.75" customHeight="1" x14ac:dyDescent="0.3">
      <c r="A180" s="16">
        <v>2828</v>
      </c>
      <c r="B180" s="17">
        <v>36</v>
      </c>
      <c r="C180" s="17">
        <v>7</v>
      </c>
      <c r="D180" s="17">
        <v>1</v>
      </c>
      <c r="E180" s="18" t="s">
        <v>190</v>
      </c>
      <c r="F180" s="39">
        <v>14369</v>
      </c>
      <c r="G180" s="39">
        <v>648</v>
      </c>
      <c r="H180" s="39">
        <v>1077</v>
      </c>
      <c r="I180" s="39">
        <v>16093</v>
      </c>
      <c r="J180" s="39">
        <v>906</v>
      </c>
      <c r="K180" s="39">
        <v>17000</v>
      </c>
      <c r="L180" s="43">
        <v>1276</v>
      </c>
    </row>
    <row r="181" spans="1:12" s="40" customFormat="1" ht="12.75" customHeight="1" x14ac:dyDescent="0.3">
      <c r="A181" s="16">
        <v>2835</v>
      </c>
      <c r="B181" s="17">
        <v>44</v>
      </c>
      <c r="C181" s="17">
        <v>6</v>
      </c>
      <c r="D181" s="17">
        <v>1</v>
      </c>
      <c r="E181" s="18" t="s">
        <v>191</v>
      </c>
      <c r="F181" s="39">
        <v>13009</v>
      </c>
      <c r="G181" s="39">
        <v>404</v>
      </c>
      <c r="H181" s="39">
        <v>606</v>
      </c>
      <c r="I181" s="39">
        <v>14018</v>
      </c>
      <c r="J181" s="39">
        <v>576</v>
      </c>
      <c r="K181" s="39">
        <v>14594</v>
      </c>
      <c r="L181" s="43">
        <v>4698</v>
      </c>
    </row>
    <row r="182" spans="1:12" s="40" customFormat="1" ht="12.75" customHeight="1" x14ac:dyDescent="0.3">
      <c r="A182" s="16">
        <v>2842</v>
      </c>
      <c r="B182" s="17">
        <v>59</v>
      </c>
      <c r="C182" s="17">
        <v>7</v>
      </c>
      <c r="D182" s="17">
        <v>1</v>
      </c>
      <c r="E182" s="18" t="s">
        <v>192</v>
      </c>
      <c r="F182" s="39">
        <v>15768</v>
      </c>
      <c r="G182" s="39">
        <v>310</v>
      </c>
      <c r="H182" s="39">
        <v>4693</v>
      </c>
      <c r="I182" s="39">
        <v>20771</v>
      </c>
      <c r="J182" s="39">
        <v>1421</v>
      </c>
      <c r="K182" s="39">
        <v>22192</v>
      </c>
      <c r="L182" s="43">
        <v>473</v>
      </c>
    </row>
    <row r="183" spans="1:12" s="40" customFormat="1" ht="12.75" customHeight="1" x14ac:dyDescent="0.3">
      <c r="A183" s="16">
        <v>1848</v>
      </c>
      <c r="B183" s="17">
        <v>63</v>
      </c>
      <c r="C183" s="17">
        <v>9</v>
      </c>
      <c r="D183" s="17">
        <v>3</v>
      </c>
      <c r="E183" s="18" t="s">
        <v>193</v>
      </c>
      <c r="F183" s="39">
        <v>29806</v>
      </c>
      <c r="G183" s="39">
        <v>1423</v>
      </c>
      <c r="H183" s="39">
        <v>7145</v>
      </c>
      <c r="I183" s="39">
        <v>38374</v>
      </c>
      <c r="J183" s="39">
        <v>1334</v>
      </c>
      <c r="K183" s="39">
        <v>39708</v>
      </c>
      <c r="L183" s="43">
        <v>536</v>
      </c>
    </row>
    <row r="184" spans="1:12" s="40" customFormat="1" ht="12.75" customHeight="1" x14ac:dyDescent="0.3">
      <c r="A184" s="16">
        <v>2849</v>
      </c>
      <c r="B184" s="17">
        <v>32</v>
      </c>
      <c r="C184" s="17">
        <v>4</v>
      </c>
      <c r="D184" s="17">
        <v>1</v>
      </c>
      <c r="E184" s="18" t="s">
        <v>194</v>
      </c>
      <c r="F184" s="39">
        <v>15792</v>
      </c>
      <c r="G184" s="39">
        <v>652</v>
      </c>
      <c r="H184" s="39">
        <v>704</v>
      </c>
      <c r="I184" s="39">
        <v>17148</v>
      </c>
      <c r="J184" s="39">
        <v>951</v>
      </c>
      <c r="K184" s="39">
        <v>18099</v>
      </c>
      <c r="L184" s="43">
        <v>6107</v>
      </c>
    </row>
    <row r="185" spans="1:12" s="40" customFormat="1" ht="12.75" customHeight="1" x14ac:dyDescent="0.3">
      <c r="A185" s="16">
        <v>2856</v>
      </c>
      <c r="B185" s="17">
        <v>54</v>
      </c>
      <c r="C185" s="17">
        <v>10</v>
      </c>
      <c r="D185" s="17">
        <v>1</v>
      </c>
      <c r="E185" s="18" t="s">
        <v>195</v>
      </c>
      <c r="F185" s="39">
        <v>14443</v>
      </c>
      <c r="G185" s="39">
        <v>1034</v>
      </c>
      <c r="H185" s="39">
        <v>2949</v>
      </c>
      <c r="I185" s="39">
        <v>18425</v>
      </c>
      <c r="J185" s="39">
        <v>1435</v>
      </c>
      <c r="K185" s="39">
        <v>19860</v>
      </c>
      <c r="L185" s="43">
        <v>740</v>
      </c>
    </row>
    <row r="186" spans="1:12" s="40" customFormat="1" ht="12.75" customHeight="1" x14ac:dyDescent="0.3">
      <c r="A186" s="16">
        <v>2863</v>
      </c>
      <c r="B186" s="17">
        <v>62</v>
      </c>
      <c r="C186" s="17">
        <v>4</v>
      </c>
      <c r="D186" s="17">
        <v>1</v>
      </c>
      <c r="E186" s="18" t="s">
        <v>196</v>
      </c>
      <c r="F186" s="39">
        <v>17447</v>
      </c>
      <c r="G186" s="39">
        <v>642</v>
      </c>
      <c r="H186" s="39">
        <v>3110</v>
      </c>
      <c r="I186" s="39">
        <v>21199</v>
      </c>
      <c r="J186" s="39">
        <v>780</v>
      </c>
      <c r="K186" s="39">
        <v>21979</v>
      </c>
      <c r="L186" s="43">
        <v>259</v>
      </c>
    </row>
    <row r="187" spans="1:12" s="40" customFormat="1" ht="12.75" customHeight="1" x14ac:dyDescent="0.3">
      <c r="A187" s="16">
        <v>3862</v>
      </c>
      <c r="B187" s="17">
        <v>67</v>
      </c>
      <c r="C187" s="17">
        <v>1</v>
      </c>
      <c r="D187" s="17">
        <v>3</v>
      </c>
      <c r="E187" s="18" t="s">
        <v>197</v>
      </c>
      <c r="F187" s="39">
        <v>13593</v>
      </c>
      <c r="G187" s="39">
        <v>663</v>
      </c>
      <c r="H187" s="39">
        <v>57</v>
      </c>
      <c r="I187" s="39">
        <v>14312</v>
      </c>
      <c r="J187" s="39">
        <v>730</v>
      </c>
      <c r="K187" s="39">
        <v>15042</v>
      </c>
      <c r="L187" s="43">
        <v>375</v>
      </c>
    </row>
    <row r="188" spans="1:12" s="40" customFormat="1" ht="12.75" customHeight="1" x14ac:dyDescent="0.3">
      <c r="A188" s="16">
        <v>2885</v>
      </c>
      <c r="B188" s="17">
        <v>64</v>
      </c>
      <c r="C188" s="17">
        <v>2</v>
      </c>
      <c r="D188" s="17">
        <v>3</v>
      </c>
      <c r="E188" s="18" t="s">
        <v>198</v>
      </c>
      <c r="F188" s="39">
        <v>14382</v>
      </c>
      <c r="G188" s="39">
        <v>552</v>
      </c>
      <c r="H188" s="39">
        <v>1450</v>
      </c>
      <c r="I188" s="39">
        <v>16384</v>
      </c>
      <c r="J188" s="39">
        <v>740</v>
      </c>
      <c r="K188" s="39">
        <v>17125</v>
      </c>
      <c r="L188" s="43">
        <v>1754</v>
      </c>
    </row>
    <row r="189" spans="1:12" s="40" customFormat="1" ht="12.75" customHeight="1" x14ac:dyDescent="0.3">
      <c r="A189" s="16">
        <v>2884</v>
      </c>
      <c r="B189" s="17">
        <v>64</v>
      </c>
      <c r="C189" s="17">
        <v>2</v>
      </c>
      <c r="D189" s="17">
        <v>2</v>
      </c>
      <c r="E189" s="18" t="s">
        <v>199</v>
      </c>
      <c r="F189" s="39">
        <v>15279</v>
      </c>
      <c r="G189" s="39">
        <v>843</v>
      </c>
      <c r="H189" s="39">
        <v>910</v>
      </c>
      <c r="I189" s="39">
        <v>17032</v>
      </c>
      <c r="J189" s="39">
        <v>1103</v>
      </c>
      <c r="K189" s="39">
        <v>18135</v>
      </c>
      <c r="L189" s="43">
        <v>1285</v>
      </c>
    </row>
    <row r="190" spans="1:12" s="40" customFormat="1" ht="12.75" customHeight="1" x14ac:dyDescent="0.3">
      <c r="A190" s="16">
        <v>2891</v>
      </c>
      <c r="B190" s="17">
        <v>9</v>
      </c>
      <c r="C190" s="17">
        <v>10</v>
      </c>
      <c r="D190" s="17">
        <v>1</v>
      </c>
      <c r="E190" s="18" t="s">
        <v>200</v>
      </c>
      <c r="F190" s="39">
        <v>18407</v>
      </c>
      <c r="G190" s="39">
        <v>1412</v>
      </c>
      <c r="H190" s="39">
        <v>341</v>
      </c>
      <c r="I190" s="39">
        <v>20161</v>
      </c>
      <c r="J190" s="39">
        <v>1491</v>
      </c>
      <c r="K190" s="39">
        <v>21652</v>
      </c>
      <c r="L190" s="43">
        <v>274</v>
      </c>
    </row>
    <row r="191" spans="1:12" s="40" customFormat="1" ht="12.75" customHeight="1" x14ac:dyDescent="0.3">
      <c r="A191" s="16">
        <v>2898</v>
      </c>
      <c r="B191" s="17">
        <v>28</v>
      </c>
      <c r="C191" s="17">
        <v>2</v>
      </c>
      <c r="D191" s="17">
        <v>1</v>
      </c>
      <c r="E191" s="18" t="s">
        <v>201</v>
      </c>
      <c r="F191" s="39">
        <v>12756</v>
      </c>
      <c r="G191" s="39">
        <v>546</v>
      </c>
      <c r="H191" s="39">
        <v>1915</v>
      </c>
      <c r="I191" s="39">
        <v>15217</v>
      </c>
      <c r="J191" s="39">
        <v>1028</v>
      </c>
      <c r="K191" s="39">
        <v>16245</v>
      </c>
      <c r="L191" s="43">
        <v>1534</v>
      </c>
    </row>
    <row r="192" spans="1:12" s="40" customFormat="1" ht="12.75" customHeight="1" x14ac:dyDescent="0.3">
      <c r="A192" s="16">
        <v>3647</v>
      </c>
      <c r="B192" s="17">
        <v>43</v>
      </c>
      <c r="C192" s="17">
        <v>9</v>
      </c>
      <c r="D192" s="17">
        <v>2</v>
      </c>
      <c r="E192" s="18" t="s">
        <v>202</v>
      </c>
      <c r="F192" s="39">
        <v>21667</v>
      </c>
      <c r="G192" s="39">
        <v>1501</v>
      </c>
      <c r="H192" s="39">
        <v>4945</v>
      </c>
      <c r="I192" s="39">
        <v>28113</v>
      </c>
      <c r="J192" s="39">
        <v>965</v>
      </c>
      <c r="K192" s="39">
        <v>29078</v>
      </c>
      <c r="L192" s="43">
        <v>712</v>
      </c>
    </row>
    <row r="193" spans="1:12" s="40" customFormat="1" ht="12.75" customHeight="1" x14ac:dyDescent="0.3">
      <c r="A193" s="16">
        <v>2912</v>
      </c>
      <c r="B193" s="17">
        <v>22</v>
      </c>
      <c r="C193" s="17">
        <v>3</v>
      </c>
      <c r="D193" s="17">
        <v>1</v>
      </c>
      <c r="E193" s="18" t="s">
        <v>203</v>
      </c>
      <c r="F193" s="39">
        <v>13575</v>
      </c>
      <c r="G193" s="39">
        <v>574</v>
      </c>
      <c r="H193" s="39">
        <v>38</v>
      </c>
      <c r="I193" s="39">
        <v>14188</v>
      </c>
      <c r="J193" s="39">
        <v>655</v>
      </c>
      <c r="K193" s="39">
        <v>14842</v>
      </c>
      <c r="L193" s="43">
        <v>1054</v>
      </c>
    </row>
    <row r="194" spans="1:12" s="40" customFormat="1" ht="12.75" customHeight="1" x14ac:dyDescent="0.3">
      <c r="A194" s="16">
        <v>2940</v>
      </c>
      <c r="B194" s="17">
        <v>21</v>
      </c>
      <c r="C194" s="17">
        <v>8</v>
      </c>
      <c r="D194" s="17">
        <v>1</v>
      </c>
      <c r="E194" s="18" t="s">
        <v>204</v>
      </c>
      <c r="F194" s="39">
        <v>17793</v>
      </c>
      <c r="G194" s="39">
        <v>873</v>
      </c>
      <c r="H194" s="39">
        <v>0</v>
      </c>
      <c r="I194" s="39">
        <v>18666</v>
      </c>
      <c r="J194" s="39">
        <v>1544</v>
      </c>
      <c r="K194" s="39">
        <v>20210</v>
      </c>
      <c r="L194" s="43">
        <v>255</v>
      </c>
    </row>
    <row r="195" spans="1:12" s="40" customFormat="1" ht="12.75" customHeight="1" x14ac:dyDescent="0.3">
      <c r="A195" s="16">
        <v>2961</v>
      </c>
      <c r="B195" s="17">
        <v>42</v>
      </c>
      <c r="C195" s="17">
        <v>8</v>
      </c>
      <c r="D195" s="17">
        <v>1</v>
      </c>
      <c r="E195" s="18" t="s">
        <v>205</v>
      </c>
      <c r="F195" s="39">
        <v>15820</v>
      </c>
      <c r="G195" s="39">
        <v>604</v>
      </c>
      <c r="H195" s="39">
        <v>144</v>
      </c>
      <c r="I195" s="39">
        <v>16569</v>
      </c>
      <c r="J195" s="39">
        <v>712</v>
      </c>
      <c r="K195" s="39">
        <v>17280</v>
      </c>
      <c r="L195" s="43">
        <v>413</v>
      </c>
    </row>
    <row r="196" spans="1:12" s="40" customFormat="1" ht="12.75" customHeight="1" x14ac:dyDescent="0.3">
      <c r="A196" s="16">
        <v>3087</v>
      </c>
      <c r="B196" s="17">
        <v>64</v>
      </c>
      <c r="C196" s="17">
        <v>2</v>
      </c>
      <c r="D196" s="17">
        <v>3</v>
      </c>
      <c r="E196" s="18" t="s">
        <v>206</v>
      </c>
      <c r="F196" s="39">
        <v>23783</v>
      </c>
      <c r="G196" s="39">
        <v>895</v>
      </c>
      <c r="H196" s="39">
        <v>2337</v>
      </c>
      <c r="I196" s="39">
        <v>27014</v>
      </c>
      <c r="J196" s="39">
        <v>767</v>
      </c>
      <c r="K196" s="39">
        <v>27781</v>
      </c>
      <c r="L196" s="43">
        <v>91</v>
      </c>
    </row>
    <row r="197" spans="1:12" s="40" customFormat="1" ht="12.75" customHeight="1" x14ac:dyDescent="0.3">
      <c r="A197" s="16">
        <v>3094</v>
      </c>
      <c r="B197" s="17">
        <v>64</v>
      </c>
      <c r="C197" s="17">
        <v>2</v>
      </c>
      <c r="D197" s="17">
        <v>3</v>
      </c>
      <c r="E197" s="18" t="s">
        <v>207</v>
      </c>
      <c r="F197" s="39">
        <v>18126</v>
      </c>
      <c r="G197" s="39">
        <v>520</v>
      </c>
      <c r="H197" s="39">
        <v>13759</v>
      </c>
      <c r="I197" s="39">
        <v>32405</v>
      </c>
      <c r="J197" s="39">
        <v>1301</v>
      </c>
      <c r="K197" s="39">
        <v>33706</v>
      </c>
      <c r="L197" s="43">
        <v>97</v>
      </c>
    </row>
    <row r="198" spans="1:12" s="40" customFormat="1" ht="12.75" customHeight="1" x14ac:dyDescent="0.3">
      <c r="A198" s="16">
        <v>3129</v>
      </c>
      <c r="B198" s="17">
        <v>44</v>
      </c>
      <c r="C198" s="17">
        <v>6</v>
      </c>
      <c r="D198" s="17">
        <v>1</v>
      </c>
      <c r="E198" s="18" t="s">
        <v>208</v>
      </c>
      <c r="F198" s="39">
        <v>14450</v>
      </c>
      <c r="G198" s="39">
        <v>200</v>
      </c>
      <c r="H198" s="39">
        <v>1361</v>
      </c>
      <c r="I198" s="39">
        <v>16011</v>
      </c>
      <c r="J198" s="39">
        <v>791</v>
      </c>
      <c r="K198" s="39">
        <v>16802</v>
      </c>
      <c r="L198" s="43">
        <v>1282</v>
      </c>
    </row>
    <row r="199" spans="1:12" s="40" customFormat="1" ht="12.75" customHeight="1" x14ac:dyDescent="0.3">
      <c r="A199" s="16">
        <v>3150</v>
      </c>
      <c r="B199" s="17">
        <v>11</v>
      </c>
      <c r="C199" s="17">
        <v>5</v>
      </c>
      <c r="D199" s="17">
        <v>1</v>
      </c>
      <c r="E199" s="18" t="s">
        <v>209</v>
      </c>
      <c r="F199" s="39">
        <v>14489</v>
      </c>
      <c r="G199" s="39">
        <v>926</v>
      </c>
      <c r="H199" s="39">
        <v>1579</v>
      </c>
      <c r="I199" s="39">
        <v>16993</v>
      </c>
      <c r="J199" s="39">
        <v>957</v>
      </c>
      <c r="K199" s="39">
        <v>17950</v>
      </c>
      <c r="L199" s="43">
        <v>1515</v>
      </c>
    </row>
    <row r="200" spans="1:12" s="40" customFormat="1" ht="12.75" customHeight="1" x14ac:dyDescent="0.3">
      <c r="A200" s="16">
        <v>3171</v>
      </c>
      <c r="B200" s="17">
        <v>14</v>
      </c>
      <c r="C200" s="17">
        <v>6</v>
      </c>
      <c r="D200" s="17">
        <v>1</v>
      </c>
      <c r="E200" s="18" t="s">
        <v>210</v>
      </c>
      <c r="F200" s="39">
        <v>13574</v>
      </c>
      <c r="G200" s="39">
        <v>355</v>
      </c>
      <c r="H200" s="39">
        <v>1718</v>
      </c>
      <c r="I200" s="39">
        <v>15646</v>
      </c>
      <c r="J200" s="39">
        <v>779</v>
      </c>
      <c r="K200" s="39">
        <v>16426</v>
      </c>
      <c r="L200" s="43">
        <v>1032</v>
      </c>
    </row>
    <row r="201" spans="1:12" s="40" customFormat="1" ht="12.75" customHeight="1" x14ac:dyDescent="0.3">
      <c r="A201" s="16">
        <v>3206</v>
      </c>
      <c r="B201" s="17">
        <v>10</v>
      </c>
      <c r="C201" s="17">
        <v>10</v>
      </c>
      <c r="D201" s="17">
        <v>1</v>
      </c>
      <c r="E201" s="18" t="s">
        <v>211</v>
      </c>
      <c r="F201" s="39">
        <v>16746</v>
      </c>
      <c r="G201" s="39">
        <v>829</v>
      </c>
      <c r="H201" s="39">
        <v>1298</v>
      </c>
      <c r="I201" s="39">
        <v>18873</v>
      </c>
      <c r="J201" s="39">
        <v>951</v>
      </c>
      <c r="K201" s="39">
        <v>19825</v>
      </c>
      <c r="L201" s="43">
        <v>515</v>
      </c>
    </row>
    <row r="202" spans="1:12" s="40" customFormat="1" ht="12.75" customHeight="1" x14ac:dyDescent="0.3">
      <c r="A202" s="16">
        <v>3213</v>
      </c>
      <c r="B202" s="17">
        <v>48</v>
      </c>
      <c r="C202" s="17">
        <v>11</v>
      </c>
      <c r="D202" s="17">
        <v>1</v>
      </c>
      <c r="E202" s="18" t="s">
        <v>212</v>
      </c>
      <c r="F202" s="39">
        <v>14161</v>
      </c>
      <c r="G202" s="39">
        <v>911</v>
      </c>
      <c r="H202" s="39">
        <v>1412</v>
      </c>
      <c r="I202" s="39">
        <v>16484</v>
      </c>
      <c r="J202" s="39">
        <v>3318</v>
      </c>
      <c r="K202" s="39">
        <v>19802</v>
      </c>
      <c r="L202" s="43">
        <v>467</v>
      </c>
    </row>
    <row r="203" spans="1:12" s="40" customFormat="1" ht="12.75" customHeight="1" x14ac:dyDescent="0.3">
      <c r="A203" s="16">
        <v>3220</v>
      </c>
      <c r="B203" s="17">
        <v>31</v>
      </c>
      <c r="C203" s="17">
        <v>7</v>
      </c>
      <c r="D203" s="17">
        <v>1</v>
      </c>
      <c r="E203" s="18" t="s">
        <v>213</v>
      </c>
      <c r="F203" s="39">
        <v>12270</v>
      </c>
      <c r="G203" s="39">
        <v>575</v>
      </c>
      <c r="H203" s="39">
        <v>2523</v>
      </c>
      <c r="I203" s="39">
        <v>15368</v>
      </c>
      <c r="J203" s="39">
        <v>729</v>
      </c>
      <c r="K203" s="39">
        <v>16098</v>
      </c>
      <c r="L203" s="43">
        <v>1816</v>
      </c>
    </row>
    <row r="204" spans="1:12" s="40" customFormat="1" ht="12.75" customHeight="1" x14ac:dyDescent="0.3">
      <c r="A204" s="16">
        <v>3269</v>
      </c>
      <c r="B204" s="17">
        <v>13</v>
      </c>
      <c r="C204" s="17">
        <v>2</v>
      </c>
      <c r="D204" s="17">
        <v>1</v>
      </c>
      <c r="E204" s="18" t="s">
        <v>214</v>
      </c>
      <c r="F204" s="39">
        <v>17413</v>
      </c>
      <c r="G204" s="39">
        <v>806</v>
      </c>
      <c r="H204" s="39">
        <v>1749</v>
      </c>
      <c r="I204" s="39">
        <v>19967</v>
      </c>
      <c r="J204" s="39">
        <v>1268</v>
      </c>
      <c r="K204" s="39">
        <v>21236</v>
      </c>
      <c r="L204" s="43">
        <v>26906</v>
      </c>
    </row>
    <row r="205" spans="1:12" s="40" customFormat="1" ht="12.75" customHeight="1" x14ac:dyDescent="0.3">
      <c r="A205" s="16">
        <v>3276</v>
      </c>
      <c r="B205" s="17">
        <v>68</v>
      </c>
      <c r="C205" s="17">
        <v>6</v>
      </c>
      <c r="D205" s="17">
        <v>1</v>
      </c>
      <c r="E205" s="18" t="s">
        <v>215</v>
      </c>
      <c r="F205" s="39">
        <v>13565</v>
      </c>
      <c r="G205" s="39">
        <v>917</v>
      </c>
      <c r="H205" s="39">
        <v>1416</v>
      </c>
      <c r="I205" s="39">
        <v>15898</v>
      </c>
      <c r="J205" s="39">
        <v>571</v>
      </c>
      <c r="K205" s="39">
        <v>16469</v>
      </c>
      <c r="L205" s="43">
        <v>634</v>
      </c>
    </row>
    <row r="206" spans="1:12" s="40" customFormat="1" ht="12.75" customHeight="1" x14ac:dyDescent="0.3">
      <c r="A206" s="16">
        <v>3290</v>
      </c>
      <c r="B206" s="17">
        <v>36</v>
      </c>
      <c r="C206" s="17">
        <v>7</v>
      </c>
      <c r="D206" s="17">
        <v>1</v>
      </c>
      <c r="E206" s="18" t="s">
        <v>216</v>
      </c>
      <c r="F206" s="39">
        <v>14154</v>
      </c>
      <c r="G206" s="39">
        <v>484</v>
      </c>
      <c r="H206" s="39">
        <v>76</v>
      </c>
      <c r="I206" s="39">
        <v>14714</v>
      </c>
      <c r="J206" s="39">
        <v>548</v>
      </c>
      <c r="K206" s="39">
        <v>15262</v>
      </c>
      <c r="L206" s="43">
        <v>5173</v>
      </c>
    </row>
    <row r="207" spans="1:12" s="40" customFormat="1" ht="12.75" customHeight="1" x14ac:dyDescent="0.3">
      <c r="A207" s="16">
        <v>3297</v>
      </c>
      <c r="B207" s="17">
        <v>16</v>
      </c>
      <c r="C207" s="17">
        <v>12</v>
      </c>
      <c r="D207" s="17">
        <v>1</v>
      </c>
      <c r="E207" s="18" t="s">
        <v>217</v>
      </c>
      <c r="F207" s="39">
        <v>12325</v>
      </c>
      <c r="G207" s="39">
        <v>1343</v>
      </c>
      <c r="H207" s="39">
        <v>3080</v>
      </c>
      <c r="I207" s="39">
        <v>16748</v>
      </c>
      <c r="J207" s="39">
        <v>825</v>
      </c>
      <c r="K207" s="39">
        <v>17573</v>
      </c>
      <c r="L207" s="43">
        <v>1243</v>
      </c>
    </row>
    <row r="208" spans="1:12" s="40" customFormat="1" ht="12.75" customHeight="1" x14ac:dyDescent="0.3">
      <c r="A208" s="16">
        <v>1897</v>
      </c>
      <c r="B208" s="17">
        <v>40</v>
      </c>
      <c r="C208" s="17">
        <v>1</v>
      </c>
      <c r="D208" s="17">
        <v>3</v>
      </c>
      <c r="E208" s="18" t="s">
        <v>218</v>
      </c>
      <c r="F208" s="39">
        <v>19680</v>
      </c>
      <c r="G208" s="39">
        <v>1080</v>
      </c>
      <c r="H208" s="39">
        <v>3381</v>
      </c>
      <c r="I208" s="39">
        <v>24142</v>
      </c>
      <c r="J208" s="39">
        <v>570</v>
      </c>
      <c r="K208" s="39">
        <v>24712</v>
      </c>
      <c r="L208" s="43">
        <v>415</v>
      </c>
    </row>
    <row r="209" spans="1:12" s="40" customFormat="1" ht="12.75" customHeight="1" x14ac:dyDescent="0.3">
      <c r="A209" s="16">
        <v>3304</v>
      </c>
      <c r="B209" s="17">
        <v>37</v>
      </c>
      <c r="C209" s="17">
        <v>9</v>
      </c>
      <c r="D209" s="17">
        <v>1</v>
      </c>
      <c r="E209" s="18" t="s">
        <v>219</v>
      </c>
      <c r="F209" s="39">
        <v>13770</v>
      </c>
      <c r="G209" s="39">
        <v>1091</v>
      </c>
      <c r="H209" s="39">
        <v>2278</v>
      </c>
      <c r="I209" s="39">
        <v>17139</v>
      </c>
      <c r="J209" s="39">
        <v>631</v>
      </c>
      <c r="K209" s="39">
        <v>17770</v>
      </c>
      <c r="L209" s="43">
        <v>721</v>
      </c>
    </row>
    <row r="210" spans="1:12" s="40" customFormat="1" ht="12.75" customHeight="1" x14ac:dyDescent="0.3">
      <c r="A210" s="16">
        <v>3311</v>
      </c>
      <c r="B210" s="17">
        <v>38</v>
      </c>
      <c r="C210" s="17">
        <v>8</v>
      </c>
      <c r="D210" s="17">
        <v>1</v>
      </c>
      <c r="E210" s="18" t="s">
        <v>220</v>
      </c>
      <c r="F210" s="39">
        <v>12918</v>
      </c>
      <c r="G210" s="39">
        <v>539</v>
      </c>
      <c r="H210" s="39">
        <v>2156</v>
      </c>
      <c r="I210" s="39">
        <v>15613</v>
      </c>
      <c r="J210" s="39">
        <v>665</v>
      </c>
      <c r="K210" s="39">
        <v>16277</v>
      </c>
      <c r="L210" s="43">
        <v>2177</v>
      </c>
    </row>
    <row r="211" spans="1:12" s="40" customFormat="1" ht="12.75" customHeight="1" x14ac:dyDescent="0.3">
      <c r="A211" s="16">
        <v>3318</v>
      </c>
      <c r="B211" s="17">
        <v>68</v>
      </c>
      <c r="C211" s="17">
        <v>8</v>
      </c>
      <c r="D211" s="17">
        <v>1</v>
      </c>
      <c r="E211" s="18" t="s">
        <v>221</v>
      </c>
      <c r="F211" s="39">
        <v>14463</v>
      </c>
      <c r="G211" s="39">
        <v>563</v>
      </c>
      <c r="H211" s="39">
        <v>60</v>
      </c>
      <c r="I211" s="39">
        <v>15086</v>
      </c>
      <c r="J211" s="39">
        <v>765</v>
      </c>
      <c r="K211" s="39">
        <v>15851</v>
      </c>
      <c r="L211" s="43">
        <v>503</v>
      </c>
    </row>
    <row r="212" spans="1:12" s="40" customFormat="1" ht="12.75" customHeight="1" x14ac:dyDescent="0.3">
      <c r="A212" s="16">
        <v>3325</v>
      </c>
      <c r="B212" s="17">
        <v>24</v>
      </c>
      <c r="C212" s="17">
        <v>6</v>
      </c>
      <c r="D212" s="17">
        <v>1</v>
      </c>
      <c r="E212" s="18" t="s">
        <v>222</v>
      </c>
      <c r="F212" s="39">
        <v>16022</v>
      </c>
      <c r="G212" s="39">
        <v>953</v>
      </c>
      <c r="H212" s="39">
        <v>1235</v>
      </c>
      <c r="I212" s="39">
        <v>18209</v>
      </c>
      <c r="J212" s="39">
        <v>748</v>
      </c>
      <c r="K212" s="39">
        <v>18958</v>
      </c>
      <c r="L212" s="43">
        <v>769</v>
      </c>
    </row>
    <row r="213" spans="1:12" s="40" customFormat="1" ht="12.75" customHeight="1" x14ac:dyDescent="0.3">
      <c r="A213" s="16">
        <v>3332</v>
      </c>
      <c r="B213" s="17">
        <v>13</v>
      </c>
      <c r="C213" s="17">
        <v>2</v>
      </c>
      <c r="D213" s="17">
        <v>1</v>
      </c>
      <c r="E213" s="18" t="s">
        <v>223</v>
      </c>
      <c r="F213" s="39">
        <v>15710</v>
      </c>
      <c r="G213" s="39">
        <v>888</v>
      </c>
      <c r="H213" s="39">
        <v>1738</v>
      </c>
      <c r="I213" s="39">
        <v>18336</v>
      </c>
      <c r="J213" s="39">
        <v>748</v>
      </c>
      <c r="K213" s="39">
        <v>19084</v>
      </c>
      <c r="L213" s="43">
        <v>968</v>
      </c>
    </row>
    <row r="214" spans="1:12" s="40" customFormat="1" ht="12.75" customHeight="1" x14ac:dyDescent="0.3">
      <c r="A214" s="16">
        <v>3339</v>
      </c>
      <c r="B214" s="17">
        <v>71</v>
      </c>
      <c r="C214" s="17">
        <v>5</v>
      </c>
      <c r="D214" s="17">
        <v>1</v>
      </c>
      <c r="E214" s="18" t="s">
        <v>224</v>
      </c>
      <c r="F214" s="39">
        <v>13499</v>
      </c>
      <c r="G214" s="39">
        <v>652</v>
      </c>
      <c r="H214" s="39">
        <v>219</v>
      </c>
      <c r="I214" s="39">
        <v>14371</v>
      </c>
      <c r="J214" s="39">
        <v>538</v>
      </c>
      <c r="K214" s="39">
        <v>14909</v>
      </c>
      <c r="L214" s="43">
        <v>3893</v>
      </c>
    </row>
    <row r="215" spans="1:12" s="40" customFormat="1" ht="12.75" customHeight="1" x14ac:dyDescent="0.3">
      <c r="A215" s="16">
        <v>3360</v>
      </c>
      <c r="B215" s="17">
        <v>29</v>
      </c>
      <c r="C215" s="17">
        <v>5</v>
      </c>
      <c r="D215" s="17">
        <v>1</v>
      </c>
      <c r="E215" s="18" t="s">
        <v>225</v>
      </c>
      <c r="F215" s="39">
        <v>14238</v>
      </c>
      <c r="G215" s="39">
        <v>546</v>
      </c>
      <c r="H215" s="39">
        <v>2292</v>
      </c>
      <c r="I215" s="39">
        <v>17077</v>
      </c>
      <c r="J215" s="39">
        <v>1781</v>
      </c>
      <c r="K215" s="39">
        <v>18857</v>
      </c>
      <c r="L215" s="43">
        <v>1448</v>
      </c>
    </row>
    <row r="216" spans="1:12" s="40" customFormat="1" ht="12.75" customHeight="1" x14ac:dyDescent="0.3">
      <c r="A216" s="16">
        <v>3367</v>
      </c>
      <c r="B216" s="17">
        <v>14</v>
      </c>
      <c r="C216" s="17">
        <v>6</v>
      </c>
      <c r="D216" s="17">
        <v>1</v>
      </c>
      <c r="E216" s="18" t="s">
        <v>226</v>
      </c>
      <c r="F216" s="39">
        <v>14023</v>
      </c>
      <c r="G216" s="39">
        <v>503</v>
      </c>
      <c r="H216" s="39">
        <v>2199</v>
      </c>
      <c r="I216" s="39">
        <v>16725</v>
      </c>
      <c r="J216" s="39">
        <v>877</v>
      </c>
      <c r="K216" s="39">
        <v>17602</v>
      </c>
      <c r="L216" s="43">
        <v>1047</v>
      </c>
    </row>
    <row r="217" spans="1:12" s="40" customFormat="1" ht="12.75" customHeight="1" x14ac:dyDescent="0.3">
      <c r="A217" s="16">
        <v>3381</v>
      </c>
      <c r="B217" s="17">
        <v>13</v>
      </c>
      <c r="C217" s="17">
        <v>2</v>
      </c>
      <c r="D217" s="17">
        <v>1</v>
      </c>
      <c r="E217" s="18" t="s">
        <v>227</v>
      </c>
      <c r="F217" s="39">
        <v>14926</v>
      </c>
      <c r="G217" s="39">
        <v>482</v>
      </c>
      <c r="H217" s="39">
        <v>2673</v>
      </c>
      <c r="I217" s="39">
        <v>18081</v>
      </c>
      <c r="J217" s="39">
        <v>917</v>
      </c>
      <c r="K217" s="39">
        <v>18998</v>
      </c>
      <c r="L217" s="43">
        <v>2350</v>
      </c>
    </row>
    <row r="218" spans="1:12" s="40" customFormat="1" ht="12.75" customHeight="1" x14ac:dyDescent="0.3">
      <c r="A218" s="16">
        <v>3409</v>
      </c>
      <c r="B218" s="17">
        <v>60</v>
      </c>
      <c r="C218" s="17">
        <v>10</v>
      </c>
      <c r="D218" s="17">
        <v>1</v>
      </c>
      <c r="E218" s="18" t="s">
        <v>228</v>
      </c>
      <c r="F218" s="39">
        <v>9527</v>
      </c>
      <c r="G218" s="39">
        <v>641</v>
      </c>
      <c r="H218" s="39">
        <v>1354</v>
      </c>
      <c r="I218" s="39">
        <v>11521</v>
      </c>
      <c r="J218" s="39">
        <v>1171</v>
      </c>
      <c r="K218" s="39">
        <v>12692</v>
      </c>
      <c r="L218" s="43">
        <v>2165</v>
      </c>
    </row>
    <row r="219" spans="1:12" s="40" customFormat="1" ht="12.75" customHeight="1" x14ac:dyDescent="0.3">
      <c r="A219" s="16">
        <v>3427</v>
      </c>
      <c r="B219" s="17">
        <v>2</v>
      </c>
      <c r="C219" s="17">
        <v>12</v>
      </c>
      <c r="D219" s="17">
        <v>1</v>
      </c>
      <c r="E219" s="18" t="s">
        <v>229</v>
      </c>
      <c r="F219" s="39">
        <v>15743</v>
      </c>
      <c r="G219" s="39">
        <v>970</v>
      </c>
      <c r="H219" s="39">
        <v>816</v>
      </c>
      <c r="I219" s="39">
        <v>17529</v>
      </c>
      <c r="J219" s="39">
        <v>828</v>
      </c>
      <c r="K219" s="39">
        <v>18357</v>
      </c>
      <c r="L219" s="43">
        <v>262</v>
      </c>
    </row>
    <row r="220" spans="1:12" s="40" customFormat="1" ht="12.75" customHeight="1" x14ac:dyDescent="0.3">
      <c r="A220" s="16">
        <v>3428</v>
      </c>
      <c r="B220" s="17">
        <v>27</v>
      </c>
      <c r="C220" s="17">
        <v>4</v>
      </c>
      <c r="D220" s="17">
        <v>1</v>
      </c>
      <c r="E220" s="18" t="s">
        <v>230</v>
      </c>
      <c r="F220" s="39">
        <v>16271</v>
      </c>
      <c r="G220" s="39">
        <v>1395</v>
      </c>
      <c r="H220" s="39">
        <v>2266</v>
      </c>
      <c r="I220" s="39">
        <v>19932</v>
      </c>
      <c r="J220" s="39">
        <v>1040</v>
      </c>
      <c r="K220" s="39">
        <v>20972</v>
      </c>
      <c r="L220" s="43">
        <v>721</v>
      </c>
    </row>
    <row r="221" spans="1:12" s="40" customFormat="1" ht="12.75" customHeight="1" x14ac:dyDescent="0.3">
      <c r="A221" s="16">
        <v>3430</v>
      </c>
      <c r="B221" s="17">
        <v>70</v>
      </c>
      <c r="C221" s="17">
        <v>6</v>
      </c>
      <c r="D221" s="17">
        <v>1</v>
      </c>
      <c r="E221" s="18" t="s">
        <v>231</v>
      </c>
      <c r="F221" s="39">
        <v>14916</v>
      </c>
      <c r="G221" s="39">
        <v>438</v>
      </c>
      <c r="H221" s="39">
        <v>4500</v>
      </c>
      <c r="I221" s="39">
        <v>19854</v>
      </c>
      <c r="J221" s="39">
        <v>1081</v>
      </c>
      <c r="K221" s="39">
        <v>20935</v>
      </c>
      <c r="L221" s="43">
        <v>3547</v>
      </c>
    </row>
    <row r="222" spans="1:12" s="40" customFormat="1" ht="12.75" customHeight="1" x14ac:dyDescent="0.3">
      <c r="A222" s="16">
        <v>3434</v>
      </c>
      <c r="B222" s="17">
        <v>72</v>
      </c>
      <c r="C222" s="17">
        <v>8</v>
      </c>
      <c r="D222" s="17">
        <v>1</v>
      </c>
      <c r="E222" s="18" t="s">
        <v>232</v>
      </c>
      <c r="F222" s="39">
        <v>19739</v>
      </c>
      <c r="G222" s="39">
        <v>1280</v>
      </c>
      <c r="H222" s="39">
        <v>3388</v>
      </c>
      <c r="I222" s="39">
        <v>24408</v>
      </c>
      <c r="J222" s="39">
        <v>908</v>
      </c>
      <c r="K222" s="39">
        <v>25316</v>
      </c>
      <c r="L222" s="43">
        <v>1077</v>
      </c>
    </row>
    <row r="223" spans="1:12" s="40" customFormat="1" ht="12.75" customHeight="1" x14ac:dyDescent="0.3">
      <c r="A223" s="16">
        <v>3437</v>
      </c>
      <c r="B223" s="17">
        <v>67</v>
      </c>
      <c r="C223" s="17">
        <v>1</v>
      </c>
      <c r="D223" s="17">
        <v>1</v>
      </c>
      <c r="E223" s="18" t="s">
        <v>233</v>
      </c>
      <c r="F223" s="39">
        <v>13685</v>
      </c>
      <c r="G223" s="39">
        <v>562</v>
      </c>
      <c r="H223" s="39">
        <v>3937</v>
      </c>
      <c r="I223" s="39">
        <v>18184</v>
      </c>
      <c r="J223" s="39">
        <v>1277</v>
      </c>
      <c r="K223" s="39">
        <v>19462</v>
      </c>
      <c r="L223" s="43">
        <v>4044</v>
      </c>
    </row>
    <row r="224" spans="1:12" s="40" customFormat="1" ht="12.75" customHeight="1" x14ac:dyDescent="0.3">
      <c r="A224" s="16">
        <v>3444</v>
      </c>
      <c r="B224" s="17">
        <v>17</v>
      </c>
      <c r="C224" s="17">
        <v>11</v>
      </c>
      <c r="D224" s="17">
        <v>1</v>
      </c>
      <c r="E224" s="18" t="s">
        <v>234</v>
      </c>
      <c r="F224" s="39">
        <v>11793</v>
      </c>
      <c r="G224" s="39">
        <v>777</v>
      </c>
      <c r="H224" s="39">
        <v>1002</v>
      </c>
      <c r="I224" s="39">
        <v>13571</v>
      </c>
      <c r="J224" s="39">
        <v>737</v>
      </c>
      <c r="K224" s="39">
        <v>14308</v>
      </c>
      <c r="L224" s="43">
        <v>3612</v>
      </c>
    </row>
    <row r="225" spans="1:12" s="40" customFormat="1" ht="12.75" customHeight="1" x14ac:dyDescent="0.3">
      <c r="A225" s="16">
        <v>3479</v>
      </c>
      <c r="B225" s="17">
        <v>45</v>
      </c>
      <c r="C225" s="17">
        <v>1</v>
      </c>
      <c r="D225" s="17">
        <v>1</v>
      </c>
      <c r="E225" s="18" t="s">
        <v>235</v>
      </c>
      <c r="F225" s="39">
        <v>14193</v>
      </c>
      <c r="G225" s="39">
        <v>803</v>
      </c>
      <c r="H225" s="39">
        <v>1295</v>
      </c>
      <c r="I225" s="39">
        <v>16291</v>
      </c>
      <c r="J225" s="39">
        <v>1014</v>
      </c>
      <c r="K225" s="39">
        <v>17306</v>
      </c>
      <c r="L225" s="43">
        <v>3545</v>
      </c>
    </row>
    <row r="226" spans="1:12" s="40" customFormat="1" ht="12.75" customHeight="1" x14ac:dyDescent="0.3">
      <c r="A226" s="16">
        <v>3484</v>
      </c>
      <c r="B226" s="17">
        <v>26</v>
      </c>
      <c r="C226" s="17">
        <v>12</v>
      </c>
      <c r="D226" s="17">
        <v>1</v>
      </c>
      <c r="E226" s="18" t="s">
        <v>236</v>
      </c>
      <c r="F226" s="39">
        <v>22114</v>
      </c>
      <c r="G226" s="39">
        <v>1641</v>
      </c>
      <c r="H226" s="39">
        <v>250</v>
      </c>
      <c r="I226" s="39">
        <v>24005</v>
      </c>
      <c r="J226" s="39">
        <v>2650</v>
      </c>
      <c r="K226" s="39">
        <v>26656</v>
      </c>
      <c r="L226" s="43">
        <v>130</v>
      </c>
    </row>
    <row r="227" spans="1:12" s="40" customFormat="1" ht="12.75" customHeight="1" x14ac:dyDescent="0.3">
      <c r="A227" s="16">
        <v>3500</v>
      </c>
      <c r="B227" s="17">
        <v>35</v>
      </c>
      <c r="C227" s="17">
        <v>9</v>
      </c>
      <c r="D227" s="17">
        <v>1</v>
      </c>
      <c r="E227" s="18" t="s">
        <v>237</v>
      </c>
      <c r="F227" s="39">
        <v>14458</v>
      </c>
      <c r="G227" s="39">
        <v>1047</v>
      </c>
      <c r="H227" s="39">
        <v>37</v>
      </c>
      <c r="I227" s="39">
        <v>15542</v>
      </c>
      <c r="J227" s="39">
        <v>771</v>
      </c>
      <c r="K227" s="39">
        <v>16313</v>
      </c>
      <c r="L227" s="43">
        <v>2348</v>
      </c>
    </row>
    <row r="228" spans="1:12" s="40" customFormat="1" ht="12.75" customHeight="1" x14ac:dyDescent="0.3">
      <c r="A228" s="16">
        <v>3528</v>
      </c>
      <c r="B228" s="17">
        <v>67</v>
      </c>
      <c r="C228" s="17">
        <v>1</v>
      </c>
      <c r="D228" s="17">
        <v>3</v>
      </c>
      <c r="E228" s="18" t="s">
        <v>238</v>
      </c>
      <c r="F228" s="39">
        <v>11656</v>
      </c>
      <c r="G228" s="39">
        <v>378</v>
      </c>
      <c r="H228" s="39">
        <v>65</v>
      </c>
      <c r="I228" s="39">
        <v>12098</v>
      </c>
      <c r="J228" s="39">
        <v>526</v>
      </c>
      <c r="K228" s="39">
        <v>12624</v>
      </c>
      <c r="L228" s="43">
        <v>910</v>
      </c>
    </row>
    <row r="229" spans="1:12" s="40" customFormat="1" ht="12.75" customHeight="1" x14ac:dyDescent="0.3">
      <c r="A229" s="16">
        <v>3549</v>
      </c>
      <c r="B229" s="17">
        <v>13</v>
      </c>
      <c r="C229" s="17">
        <v>2</v>
      </c>
      <c r="D229" s="17">
        <v>1</v>
      </c>
      <c r="E229" s="18" t="s">
        <v>239</v>
      </c>
      <c r="F229" s="39">
        <v>14975</v>
      </c>
      <c r="G229" s="39">
        <v>500</v>
      </c>
      <c r="H229" s="39">
        <v>2219</v>
      </c>
      <c r="I229" s="39">
        <v>17694</v>
      </c>
      <c r="J229" s="39">
        <v>525</v>
      </c>
      <c r="K229" s="39">
        <v>18219</v>
      </c>
      <c r="L229" s="43">
        <v>7227</v>
      </c>
    </row>
    <row r="230" spans="1:12" s="40" customFormat="1" ht="12.75" customHeight="1" x14ac:dyDescent="0.3">
      <c r="A230" s="16">
        <v>3612</v>
      </c>
      <c r="B230" s="17">
        <v>53</v>
      </c>
      <c r="C230" s="17">
        <v>2</v>
      </c>
      <c r="D230" s="17">
        <v>1</v>
      </c>
      <c r="E230" s="18" t="s">
        <v>240</v>
      </c>
      <c r="F230" s="39">
        <v>12378</v>
      </c>
      <c r="G230" s="39">
        <v>656</v>
      </c>
      <c r="H230" s="39">
        <v>1825</v>
      </c>
      <c r="I230" s="39">
        <v>14859</v>
      </c>
      <c r="J230" s="39">
        <v>546</v>
      </c>
      <c r="K230" s="39">
        <v>15405</v>
      </c>
      <c r="L230" s="43">
        <v>3434</v>
      </c>
    </row>
    <row r="231" spans="1:12" s="40" customFormat="1" ht="12.75" customHeight="1" x14ac:dyDescent="0.3">
      <c r="A231" s="16">
        <v>3619</v>
      </c>
      <c r="B231" s="17">
        <v>40</v>
      </c>
      <c r="C231" s="17">
        <v>1</v>
      </c>
      <c r="D231" s="17">
        <v>1</v>
      </c>
      <c r="E231" s="18" t="s">
        <v>241</v>
      </c>
      <c r="F231" s="39">
        <v>19151</v>
      </c>
      <c r="G231" s="39">
        <v>1197</v>
      </c>
      <c r="H231" s="39">
        <v>2792</v>
      </c>
      <c r="I231" s="39">
        <v>23139</v>
      </c>
      <c r="J231" s="39">
        <v>1480</v>
      </c>
      <c r="K231" s="39">
        <v>24619</v>
      </c>
      <c r="L231" s="43">
        <v>68954</v>
      </c>
    </row>
    <row r="232" spans="1:12" s="40" customFormat="1" ht="12.75" customHeight="1" x14ac:dyDescent="0.3">
      <c r="A232" s="16">
        <v>3633</v>
      </c>
      <c r="B232" s="17">
        <v>25</v>
      </c>
      <c r="C232" s="17">
        <v>3</v>
      </c>
      <c r="D232" s="17">
        <v>1</v>
      </c>
      <c r="E232" s="18" t="s">
        <v>242</v>
      </c>
      <c r="F232" s="39">
        <v>15768</v>
      </c>
      <c r="G232" s="39">
        <v>731</v>
      </c>
      <c r="H232" s="39">
        <v>1547</v>
      </c>
      <c r="I232" s="39">
        <v>18046</v>
      </c>
      <c r="J232" s="39">
        <v>781</v>
      </c>
      <c r="K232" s="39">
        <v>18827</v>
      </c>
      <c r="L232" s="43">
        <v>744</v>
      </c>
    </row>
    <row r="233" spans="1:12" s="40" customFormat="1" ht="12.75" customHeight="1" x14ac:dyDescent="0.3">
      <c r="A233" s="16">
        <v>3640</v>
      </c>
      <c r="B233" s="17">
        <v>43</v>
      </c>
      <c r="C233" s="17">
        <v>9</v>
      </c>
      <c r="D233" s="17">
        <v>3</v>
      </c>
      <c r="E233" s="18" t="s">
        <v>243</v>
      </c>
      <c r="F233" s="39">
        <v>17585</v>
      </c>
      <c r="G233" s="39">
        <v>1161</v>
      </c>
      <c r="H233" s="39">
        <v>1852</v>
      </c>
      <c r="I233" s="39">
        <v>20598</v>
      </c>
      <c r="J233" s="39">
        <v>653</v>
      </c>
      <c r="K233" s="39">
        <v>21251</v>
      </c>
      <c r="L233" s="43">
        <v>555</v>
      </c>
    </row>
    <row r="234" spans="1:12" s="40" customFormat="1" ht="12.75" customHeight="1" x14ac:dyDescent="0.3">
      <c r="A234" s="16">
        <v>3661</v>
      </c>
      <c r="B234" s="17">
        <v>36</v>
      </c>
      <c r="C234" s="17">
        <v>7</v>
      </c>
      <c r="D234" s="17">
        <v>1</v>
      </c>
      <c r="E234" s="18" t="s">
        <v>244</v>
      </c>
      <c r="F234" s="39">
        <v>13176</v>
      </c>
      <c r="G234" s="39">
        <v>575</v>
      </c>
      <c r="H234" s="39">
        <v>1848</v>
      </c>
      <c r="I234" s="39">
        <v>15599</v>
      </c>
      <c r="J234" s="39">
        <v>967</v>
      </c>
      <c r="K234" s="39">
        <v>16565</v>
      </c>
      <c r="L234" s="43">
        <v>845</v>
      </c>
    </row>
    <row r="235" spans="1:12" s="40" customFormat="1" ht="12.75" customHeight="1" x14ac:dyDescent="0.3">
      <c r="A235" s="16">
        <v>3668</v>
      </c>
      <c r="B235" s="17">
        <v>6</v>
      </c>
      <c r="C235" s="17">
        <v>10</v>
      </c>
      <c r="D235" s="17">
        <v>1</v>
      </c>
      <c r="E235" s="18" t="s">
        <v>245</v>
      </c>
      <c r="F235" s="39">
        <v>12906</v>
      </c>
      <c r="G235" s="39">
        <v>2942</v>
      </c>
      <c r="H235" s="39">
        <v>1382</v>
      </c>
      <c r="I235" s="39">
        <v>17230</v>
      </c>
      <c r="J235" s="39">
        <v>890</v>
      </c>
      <c r="K235" s="39">
        <v>18120</v>
      </c>
      <c r="L235" s="43">
        <v>976</v>
      </c>
    </row>
    <row r="236" spans="1:12" s="40" customFormat="1" ht="12.75" customHeight="1" x14ac:dyDescent="0.3">
      <c r="A236" s="16">
        <v>3675</v>
      </c>
      <c r="B236" s="17">
        <v>13</v>
      </c>
      <c r="C236" s="17">
        <v>2</v>
      </c>
      <c r="D236" s="17">
        <v>1</v>
      </c>
      <c r="E236" s="18" t="s">
        <v>246</v>
      </c>
      <c r="F236" s="39">
        <v>16873</v>
      </c>
      <c r="G236" s="39">
        <v>900</v>
      </c>
      <c r="H236" s="39">
        <v>1974</v>
      </c>
      <c r="I236" s="39">
        <v>19747</v>
      </c>
      <c r="J236" s="39">
        <v>1071</v>
      </c>
      <c r="K236" s="39">
        <v>20818</v>
      </c>
      <c r="L236" s="43">
        <v>3329</v>
      </c>
    </row>
    <row r="237" spans="1:12" s="40" customFormat="1" ht="12.75" customHeight="1" x14ac:dyDescent="0.3">
      <c r="A237" s="16">
        <v>3682</v>
      </c>
      <c r="B237" s="17">
        <v>23</v>
      </c>
      <c r="C237" s="17">
        <v>2</v>
      </c>
      <c r="D237" s="17">
        <v>1</v>
      </c>
      <c r="E237" s="18" t="s">
        <v>247</v>
      </c>
      <c r="F237" s="39">
        <v>14765</v>
      </c>
      <c r="G237" s="39">
        <v>567</v>
      </c>
      <c r="H237" s="39">
        <v>2049</v>
      </c>
      <c r="I237" s="39">
        <v>17381</v>
      </c>
      <c r="J237" s="39">
        <v>1537</v>
      </c>
      <c r="K237" s="39">
        <v>18918</v>
      </c>
      <c r="L237" s="43">
        <v>2321</v>
      </c>
    </row>
    <row r="238" spans="1:12" s="40" customFormat="1" ht="12.75" customHeight="1" x14ac:dyDescent="0.3">
      <c r="A238" s="16">
        <v>3689</v>
      </c>
      <c r="B238" s="17">
        <v>39</v>
      </c>
      <c r="C238" s="17">
        <v>5</v>
      </c>
      <c r="D238" s="17">
        <v>1</v>
      </c>
      <c r="E238" s="18" t="s">
        <v>248</v>
      </c>
      <c r="F238" s="39">
        <v>15920</v>
      </c>
      <c r="G238" s="39">
        <v>1150</v>
      </c>
      <c r="H238" s="39">
        <v>761</v>
      </c>
      <c r="I238" s="39">
        <v>17831</v>
      </c>
      <c r="J238" s="39">
        <v>680</v>
      </c>
      <c r="K238" s="39">
        <v>18510</v>
      </c>
      <c r="L238" s="43">
        <v>685</v>
      </c>
    </row>
    <row r="239" spans="1:12" s="40" customFormat="1" ht="12.75" customHeight="1" x14ac:dyDescent="0.3">
      <c r="A239" s="16">
        <v>3696</v>
      </c>
      <c r="B239" s="17">
        <v>23</v>
      </c>
      <c r="C239" s="17">
        <v>2</v>
      </c>
      <c r="D239" s="17">
        <v>1</v>
      </c>
      <c r="E239" s="18" t="s">
        <v>249</v>
      </c>
      <c r="F239" s="39">
        <v>17549</v>
      </c>
      <c r="G239" s="39">
        <v>445</v>
      </c>
      <c r="H239" s="39">
        <v>1128</v>
      </c>
      <c r="I239" s="39">
        <v>19122</v>
      </c>
      <c r="J239" s="39">
        <v>919</v>
      </c>
      <c r="K239" s="39">
        <v>20042</v>
      </c>
      <c r="L239" s="43">
        <v>328</v>
      </c>
    </row>
    <row r="240" spans="1:12" s="40" customFormat="1" ht="12.75" customHeight="1" x14ac:dyDescent="0.3">
      <c r="A240" s="16">
        <v>3787</v>
      </c>
      <c r="B240" s="17">
        <v>37</v>
      </c>
      <c r="C240" s="17">
        <v>9</v>
      </c>
      <c r="D240" s="17">
        <v>1</v>
      </c>
      <c r="E240" s="18" t="s">
        <v>250</v>
      </c>
      <c r="F240" s="39">
        <v>13185</v>
      </c>
      <c r="G240" s="39">
        <v>663</v>
      </c>
      <c r="H240" s="39">
        <v>1054</v>
      </c>
      <c r="I240" s="39">
        <v>14901</v>
      </c>
      <c r="J240" s="39">
        <v>746</v>
      </c>
      <c r="K240" s="39">
        <v>15647</v>
      </c>
      <c r="L240" s="43">
        <v>1954</v>
      </c>
    </row>
    <row r="241" spans="1:12" s="40" customFormat="1" ht="12.75" customHeight="1" x14ac:dyDescent="0.3">
      <c r="A241" s="16">
        <v>3794</v>
      </c>
      <c r="B241" s="17">
        <v>13</v>
      </c>
      <c r="C241" s="17">
        <v>2</v>
      </c>
      <c r="D241" s="17">
        <v>1</v>
      </c>
      <c r="E241" s="18" t="s">
        <v>251</v>
      </c>
      <c r="F241" s="39">
        <v>15233</v>
      </c>
      <c r="G241" s="39">
        <v>571</v>
      </c>
      <c r="H241" s="39">
        <v>502</v>
      </c>
      <c r="I241" s="39">
        <v>16306</v>
      </c>
      <c r="J241" s="39">
        <v>689</v>
      </c>
      <c r="K241" s="39">
        <v>16995</v>
      </c>
      <c r="L241" s="43">
        <v>2324</v>
      </c>
    </row>
    <row r="242" spans="1:12" s="40" customFormat="1" ht="12.75" customHeight="1" x14ac:dyDescent="0.3">
      <c r="A242" s="16">
        <v>3822</v>
      </c>
      <c r="B242" s="17">
        <v>67</v>
      </c>
      <c r="C242" s="17">
        <v>1</v>
      </c>
      <c r="D242" s="17">
        <v>1</v>
      </c>
      <c r="E242" s="18" t="s">
        <v>252</v>
      </c>
      <c r="F242" s="39">
        <v>12602</v>
      </c>
      <c r="G242" s="39">
        <v>696</v>
      </c>
      <c r="H242" s="39">
        <v>2668</v>
      </c>
      <c r="I242" s="39">
        <v>15965</v>
      </c>
      <c r="J242" s="39">
        <v>670</v>
      </c>
      <c r="K242" s="39">
        <v>16636</v>
      </c>
      <c r="L242" s="43">
        <v>4812</v>
      </c>
    </row>
    <row r="243" spans="1:12" s="40" customFormat="1" ht="12.75" customHeight="1" x14ac:dyDescent="0.3">
      <c r="A243" s="16">
        <v>3857</v>
      </c>
      <c r="B243" s="17">
        <v>67</v>
      </c>
      <c r="C243" s="17">
        <v>1</v>
      </c>
      <c r="D243" s="17">
        <v>1</v>
      </c>
      <c r="E243" s="18" t="s">
        <v>253</v>
      </c>
      <c r="F243" s="39">
        <v>13177</v>
      </c>
      <c r="G243" s="39">
        <v>716</v>
      </c>
      <c r="H243" s="39">
        <v>1650</v>
      </c>
      <c r="I243" s="39">
        <v>15543</v>
      </c>
      <c r="J243" s="39">
        <v>525</v>
      </c>
      <c r="K243" s="39">
        <v>16068</v>
      </c>
      <c r="L243" s="43">
        <v>4797</v>
      </c>
    </row>
    <row r="244" spans="1:12" s="40" customFormat="1" ht="12.75" customHeight="1" x14ac:dyDescent="0.3">
      <c r="A244" s="16">
        <v>3871</v>
      </c>
      <c r="B244" s="17">
        <v>29</v>
      </c>
      <c r="C244" s="17">
        <v>5</v>
      </c>
      <c r="D244" s="17">
        <v>1</v>
      </c>
      <c r="E244" s="18" t="s">
        <v>254</v>
      </c>
      <c r="F244" s="39">
        <v>15501</v>
      </c>
      <c r="G244" s="39">
        <v>900</v>
      </c>
      <c r="H244" s="39">
        <v>642</v>
      </c>
      <c r="I244" s="39">
        <v>17042</v>
      </c>
      <c r="J244" s="39">
        <v>1025</v>
      </c>
      <c r="K244" s="39">
        <v>18067</v>
      </c>
      <c r="L244" s="43">
        <v>724</v>
      </c>
    </row>
    <row r="245" spans="1:12" s="40" customFormat="1" ht="12.75" customHeight="1" x14ac:dyDescent="0.3">
      <c r="A245" s="16">
        <v>3892</v>
      </c>
      <c r="B245" s="17">
        <v>70</v>
      </c>
      <c r="C245" s="17">
        <v>6</v>
      </c>
      <c r="D245" s="17">
        <v>1</v>
      </c>
      <c r="E245" s="18" t="s">
        <v>255</v>
      </c>
      <c r="F245" s="39">
        <v>12451</v>
      </c>
      <c r="G245" s="39">
        <v>429</v>
      </c>
      <c r="H245" s="39">
        <v>1498</v>
      </c>
      <c r="I245" s="39">
        <v>14378</v>
      </c>
      <c r="J245" s="39">
        <v>560</v>
      </c>
      <c r="K245" s="39">
        <v>14938</v>
      </c>
      <c r="L245" s="43">
        <v>7135</v>
      </c>
    </row>
    <row r="246" spans="1:12" s="40" customFormat="1" ht="12.75" customHeight="1" x14ac:dyDescent="0.3">
      <c r="A246" s="16">
        <v>3899</v>
      </c>
      <c r="B246" s="17">
        <v>10</v>
      </c>
      <c r="C246" s="17">
        <v>10</v>
      </c>
      <c r="D246" s="17">
        <v>1</v>
      </c>
      <c r="E246" s="18" t="s">
        <v>256</v>
      </c>
      <c r="F246" s="39">
        <v>13173</v>
      </c>
      <c r="G246" s="39">
        <v>689</v>
      </c>
      <c r="H246" s="39">
        <v>364</v>
      </c>
      <c r="I246" s="39">
        <v>14226</v>
      </c>
      <c r="J246" s="39">
        <v>1031</v>
      </c>
      <c r="K246" s="39">
        <v>15257</v>
      </c>
      <c r="L246" s="43">
        <v>880</v>
      </c>
    </row>
    <row r="247" spans="1:12" s="40" customFormat="1" ht="12.75" customHeight="1" x14ac:dyDescent="0.3">
      <c r="A247" s="16">
        <v>3906</v>
      </c>
      <c r="B247" s="17">
        <v>71</v>
      </c>
      <c r="C247" s="17">
        <v>5</v>
      </c>
      <c r="D247" s="17">
        <v>1</v>
      </c>
      <c r="E247" s="18" t="s">
        <v>257</v>
      </c>
      <c r="F247" s="39">
        <v>15908</v>
      </c>
      <c r="G247" s="39">
        <v>1029</v>
      </c>
      <c r="H247" s="39">
        <v>2000</v>
      </c>
      <c r="I247" s="39">
        <v>18937</v>
      </c>
      <c r="J247" s="39">
        <v>925</v>
      </c>
      <c r="K247" s="39">
        <v>19862</v>
      </c>
      <c r="L247" s="43">
        <v>1048</v>
      </c>
    </row>
    <row r="248" spans="1:12" s="40" customFormat="1" ht="12.75" customHeight="1" x14ac:dyDescent="0.3">
      <c r="A248" s="16">
        <v>3920</v>
      </c>
      <c r="B248" s="17">
        <v>9</v>
      </c>
      <c r="C248" s="17">
        <v>10</v>
      </c>
      <c r="D248" s="17">
        <v>1</v>
      </c>
      <c r="E248" s="18" t="s">
        <v>258</v>
      </c>
      <c r="F248" s="39">
        <v>18647</v>
      </c>
      <c r="G248" s="39">
        <v>791</v>
      </c>
      <c r="H248" s="39">
        <v>302</v>
      </c>
      <c r="I248" s="39">
        <v>19741</v>
      </c>
      <c r="J248" s="39">
        <v>883</v>
      </c>
      <c r="K248" s="39">
        <v>20624</v>
      </c>
      <c r="L248" s="43">
        <v>289</v>
      </c>
    </row>
    <row r="249" spans="1:12" s="40" customFormat="1" ht="12.75" customHeight="1" x14ac:dyDescent="0.3">
      <c r="A249" s="16">
        <v>3925</v>
      </c>
      <c r="B249" s="17">
        <v>67</v>
      </c>
      <c r="C249" s="17">
        <v>1</v>
      </c>
      <c r="D249" s="17">
        <v>1</v>
      </c>
      <c r="E249" s="18" t="s">
        <v>259</v>
      </c>
      <c r="F249" s="39">
        <v>13560</v>
      </c>
      <c r="G249" s="39">
        <v>789</v>
      </c>
      <c r="H249" s="39">
        <v>1435</v>
      </c>
      <c r="I249" s="39">
        <v>15784</v>
      </c>
      <c r="J249" s="39">
        <v>828</v>
      </c>
      <c r="K249" s="39">
        <v>16612</v>
      </c>
      <c r="L249" s="43">
        <v>4492</v>
      </c>
    </row>
    <row r="250" spans="1:12" s="40" customFormat="1" ht="12.75" customHeight="1" x14ac:dyDescent="0.3">
      <c r="A250" s="16">
        <v>3934</v>
      </c>
      <c r="B250" s="17">
        <v>23</v>
      </c>
      <c r="C250" s="17">
        <v>2</v>
      </c>
      <c r="D250" s="17">
        <v>1</v>
      </c>
      <c r="E250" s="18" t="s">
        <v>260</v>
      </c>
      <c r="F250" s="39">
        <v>14206</v>
      </c>
      <c r="G250" s="39">
        <v>372</v>
      </c>
      <c r="H250" s="39">
        <v>7173</v>
      </c>
      <c r="I250" s="39">
        <v>21750</v>
      </c>
      <c r="J250" s="39">
        <v>818</v>
      </c>
      <c r="K250" s="39">
        <v>22568</v>
      </c>
      <c r="L250" s="43">
        <v>875</v>
      </c>
    </row>
    <row r="251" spans="1:12" s="40" customFormat="1" ht="12.75" customHeight="1" x14ac:dyDescent="0.3">
      <c r="A251" s="16">
        <v>3941</v>
      </c>
      <c r="B251" s="17">
        <v>8</v>
      </c>
      <c r="C251" s="17">
        <v>7</v>
      </c>
      <c r="D251" s="17">
        <v>1</v>
      </c>
      <c r="E251" s="18" t="s">
        <v>261</v>
      </c>
      <c r="F251" s="39">
        <v>11848</v>
      </c>
      <c r="G251" s="39">
        <v>395</v>
      </c>
      <c r="H251" s="39">
        <v>1459</v>
      </c>
      <c r="I251" s="39">
        <v>13702</v>
      </c>
      <c r="J251" s="39">
        <v>708</v>
      </c>
      <c r="K251" s="39">
        <v>14409</v>
      </c>
      <c r="L251" s="43">
        <v>1185</v>
      </c>
    </row>
    <row r="252" spans="1:12" s="40" customFormat="1" ht="12.75" customHeight="1" x14ac:dyDescent="0.3">
      <c r="A252" s="16">
        <v>3948</v>
      </c>
      <c r="B252" s="17">
        <v>29</v>
      </c>
      <c r="C252" s="17">
        <v>5</v>
      </c>
      <c r="D252" s="17">
        <v>1</v>
      </c>
      <c r="E252" s="18" t="s">
        <v>262</v>
      </c>
      <c r="F252" s="39">
        <v>15045</v>
      </c>
      <c r="G252" s="39">
        <v>897</v>
      </c>
      <c r="H252" s="39">
        <v>123</v>
      </c>
      <c r="I252" s="39">
        <v>16065</v>
      </c>
      <c r="J252" s="39">
        <v>750</v>
      </c>
      <c r="K252" s="39">
        <v>16815</v>
      </c>
      <c r="L252" s="43">
        <v>569</v>
      </c>
    </row>
    <row r="253" spans="1:12" s="40" customFormat="1" ht="12.75" customHeight="1" x14ac:dyDescent="0.3">
      <c r="A253" s="16">
        <v>3955</v>
      </c>
      <c r="B253" s="17">
        <v>68</v>
      </c>
      <c r="C253" s="17">
        <v>6</v>
      </c>
      <c r="D253" s="17">
        <v>1</v>
      </c>
      <c r="E253" s="18" t="s">
        <v>263</v>
      </c>
      <c r="F253" s="39">
        <v>13214</v>
      </c>
      <c r="G253" s="39">
        <v>479</v>
      </c>
      <c r="H253" s="39">
        <v>941</v>
      </c>
      <c r="I253" s="39">
        <v>14634</v>
      </c>
      <c r="J253" s="39">
        <v>646</v>
      </c>
      <c r="K253" s="39">
        <v>15280</v>
      </c>
      <c r="L253" s="43">
        <v>2287</v>
      </c>
    </row>
    <row r="254" spans="1:12" s="40" customFormat="1" ht="12.75" customHeight="1" x14ac:dyDescent="0.3">
      <c r="A254" s="16">
        <v>3962</v>
      </c>
      <c r="B254" s="17">
        <v>55</v>
      </c>
      <c r="C254" s="17">
        <v>11</v>
      </c>
      <c r="D254" s="17">
        <v>1</v>
      </c>
      <c r="E254" s="18" t="s">
        <v>264</v>
      </c>
      <c r="F254" s="39">
        <v>12151</v>
      </c>
      <c r="G254" s="39">
        <v>662</v>
      </c>
      <c r="H254" s="39">
        <v>1590</v>
      </c>
      <c r="I254" s="39">
        <v>14403</v>
      </c>
      <c r="J254" s="39">
        <v>1171</v>
      </c>
      <c r="K254" s="39">
        <v>15574</v>
      </c>
      <c r="L254" s="43">
        <v>3672</v>
      </c>
    </row>
    <row r="255" spans="1:12" s="40" customFormat="1" ht="12.75" customHeight="1" x14ac:dyDescent="0.3">
      <c r="A255" s="16">
        <v>3969</v>
      </c>
      <c r="B255" s="17">
        <v>38</v>
      </c>
      <c r="C255" s="17">
        <v>8</v>
      </c>
      <c r="D255" s="17">
        <v>1</v>
      </c>
      <c r="E255" s="18" t="s">
        <v>265</v>
      </c>
      <c r="F255" s="39">
        <v>15895</v>
      </c>
      <c r="G255" s="39">
        <v>402</v>
      </c>
      <c r="H255" s="39">
        <v>1179</v>
      </c>
      <c r="I255" s="39">
        <v>17476</v>
      </c>
      <c r="J255" s="39">
        <v>940</v>
      </c>
      <c r="K255" s="39">
        <v>18416</v>
      </c>
      <c r="L255" s="43">
        <v>355</v>
      </c>
    </row>
    <row r="256" spans="1:12" s="40" customFormat="1" ht="12.75" customHeight="1" x14ac:dyDescent="0.3">
      <c r="A256" s="16">
        <v>2177</v>
      </c>
      <c r="B256" s="17">
        <v>40</v>
      </c>
      <c r="C256" s="17">
        <v>1</v>
      </c>
      <c r="D256" s="17">
        <v>2</v>
      </c>
      <c r="E256" s="18" t="s">
        <v>266</v>
      </c>
      <c r="F256" s="39">
        <v>19702</v>
      </c>
      <c r="G256" s="39">
        <v>861</v>
      </c>
      <c r="H256" s="39">
        <v>6789</v>
      </c>
      <c r="I256" s="39">
        <v>27352</v>
      </c>
      <c r="J256" s="39">
        <v>1551</v>
      </c>
      <c r="K256" s="39">
        <v>28903</v>
      </c>
      <c r="L256" s="43">
        <v>1087</v>
      </c>
    </row>
    <row r="257" spans="1:12" s="40" customFormat="1" ht="12.75" customHeight="1" x14ac:dyDescent="0.3">
      <c r="A257" s="16">
        <v>4690</v>
      </c>
      <c r="B257" s="17">
        <v>51</v>
      </c>
      <c r="C257" s="17">
        <v>2</v>
      </c>
      <c r="D257" s="17">
        <v>3</v>
      </c>
      <c r="E257" s="18" t="s">
        <v>267</v>
      </c>
      <c r="F257" s="39">
        <v>14280</v>
      </c>
      <c r="G257" s="39">
        <v>535</v>
      </c>
      <c r="H257" s="39">
        <v>84</v>
      </c>
      <c r="I257" s="39">
        <v>14899</v>
      </c>
      <c r="J257" s="39">
        <v>95</v>
      </c>
      <c r="K257" s="39">
        <v>14994</v>
      </c>
      <c r="L257" s="43">
        <v>200</v>
      </c>
    </row>
    <row r="258" spans="1:12" s="40" customFormat="1" ht="12.75" customHeight="1" x14ac:dyDescent="0.3">
      <c r="A258" s="16">
        <v>2016</v>
      </c>
      <c r="B258" s="17">
        <v>12</v>
      </c>
      <c r="C258" s="17">
        <v>3</v>
      </c>
      <c r="D258" s="17">
        <v>1</v>
      </c>
      <c r="E258" s="18" t="s">
        <v>268</v>
      </c>
      <c r="F258" s="39">
        <v>17179</v>
      </c>
      <c r="G258" s="39">
        <v>651</v>
      </c>
      <c r="H258" s="39">
        <v>1221</v>
      </c>
      <c r="I258" s="39">
        <v>19050</v>
      </c>
      <c r="J258" s="39">
        <v>1876</v>
      </c>
      <c r="K258" s="39">
        <v>20926</v>
      </c>
      <c r="L258" s="43">
        <v>447</v>
      </c>
    </row>
    <row r="259" spans="1:12" s="40" customFormat="1" ht="12.75" customHeight="1" x14ac:dyDescent="0.3">
      <c r="A259" s="16">
        <v>3983</v>
      </c>
      <c r="B259" s="17">
        <v>20</v>
      </c>
      <c r="C259" s="17">
        <v>6</v>
      </c>
      <c r="D259" s="17">
        <v>1</v>
      </c>
      <c r="E259" s="18" t="s">
        <v>269</v>
      </c>
      <c r="F259" s="39">
        <v>14759</v>
      </c>
      <c r="G259" s="39">
        <v>393</v>
      </c>
      <c r="H259" s="39">
        <v>2417</v>
      </c>
      <c r="I259" s="39">
        <v>17568</v>
      </c>
      <c r="J259" s="39">
        <v>870</v>
      </c>
      <c r="K259" s="39">
        <v>18438</v>
      </c>
      <c r="L259" s="43">
        <v>1391</v>
      </c>
    </row>
    <row r="260" spans="1:12" s="40" customFormat="1" ht="12.75" customHeight="1" x14ac:dyDescent="0.3">
      <c r="A260" s="16">
        <v>3514</v>
      </c>
      <c r="B260" s="17">
        <v>67</v>
      </c>
      <c r="C260" s="17">
        <v>1</v>
      </c>
      <c r="D260" s="17">
        <v>3</v>
      </c>
      <c r="E260" s="18" t="s">
        <v>270</v>
      </c>
      <c r="F260" s="39">
        <v>12589</v>
      </c>
      <c r="G260" s="39">
        <v>679</v>
      </c>
      <c r="H260" s="39">
        <v>1862</v>
      </c>
      <c r="I260" s="39">
        <v>15130</v>
      </c>
      <c r="J260" s="39">
        <v>704</v>
      </c>
      <c r="K260" s="39">
        <v>15834</v>
      </c>
      <c r="L260" s="43">
        <v>265</v>
      </c>
    </row>
    <row r="261" spans="1:12" s="40" customFormat="1" ht="12.75" customHeight="1" x14ac:dyDescent="0.3">
      <c r="A261" s="16">
        <v>616</v>
      </c>
      <c r="B261" s="17">
        <v>63</v>
      </c>
      <c r="C261" s="17">
        <v>9</v>
      </c>
      <c r="D261" s="17">
        <v>3</v>
      </c>
      <c r="E261" s="18" t="s">
        <v>271</v>
      </c>
      <c r="F261" s="39">
        <v>27774</v>
      </c>
      <c r="G261" s="39">
        <v>2136</v>
      </c>
      <c r="H261" s="39">
        <v>1550</v>
      </c>
      <c r="I261" s="39">
        <v>31460</v>
      </c>
      <c r="J261" s="39">
        <v>2510</v>
      </c>
      <c r="K261" s="39">
        <v>33969</v>
      </c>
      <c r="L261" s="43">
        <v>130</v>
      </c>
    </row>
    <row r="262" spans="1:12" s="40" customFormat="1" ht="12.75" customHeight="1" x14ac:dyDescent="0.3">
      <c r="A262" s="16">
        <v>1945</v>
      </c>
      <c r="B262" s="17">
        <v>45</v>
      </c>
      <c r="C262" s="17">
        <v>1</v>
      </c>
      <c r="D262" s="17">
        <v>1</v>
      </c>
      <c r="E262" s="18" t="s">
        <v>272</v>
      </c>
      <c r="F262" s="39">
        <v>13776</v>
      </c>
      <c r="G262" s="39">
        <v>632</v>
      </c>
      <c r="H262" s="39">
        <v>1410</v>
      </c>
      <c r="I262" s="39">
        <v>15818</v>
      </c>
      <c r="J262" s="39">
        <v>636</v>
      </c>
      <c r="K262" s="39">
        <v>16454</v>
      </c>
      <c r="L262" s="43">
        <v>781</v>
      </c>
    </row>
    <row r="263" spans="1:12" s="40" customFormat="1" ht="12.75" customHeight="1" x14ac:dyDescent="0.3">
      <c r="A263" s="16">
        <v>1526</v>
      </c>
      <c r="B263" s="17">
        <v>63</v>
      </c>
      <c r="C263" s="17">
        <v>9</v>
      </c>
      <c r="D263" s="17">
        <v>1</v>
      </c>
      <c r="E263" s="18" t="s">
        <v>273</v>
      </c>
      <c r="F263" s="39">
        <v>17359</v>
      </c>
      <c r="G263" s="39">
        <v>1238</v>
      </c>
      <c r="H263" s="39">
        <v>2016</v>
      </c>
      <c r="I263" s="39">
        <v>20613</v>
      </c>
      <c r="J263" s="39">
        <v>887</v>
      </c>
      <c r="K263" s="39">
        <v>21499</v>
      </c>
      <c r="L263" s="43">
        <v>1304</v>
      </c>
    </row>
    <row r="264" spans="1:12" s="40" customFormat="1" ht="12.75" customHeight="1" x14ac:dyDescent="0.3">
      <c r="A264" s="16">
        <v>3654</v>
      </c>
      <c r="B264" s="17">
        <v>65</v>
      </c>
      <c r="C264" s="17">
        <v>12</v>
      </c>
      <c r="D264" s="17">
        <v>1</v>
      </c>
      <c r="E264" s="18" t="s">
        <v>274</v>
      </c>
      <c r="F264" s="39">
        <v>15271</v>
      </c>
      <c r="G264" s="39">
        <v>908</v>
      </c>
      <c r="H264" s="39">
        <v>1152</v>
      </c>
      <c r="I264" s="39">
        <v>17331</v>
      </c>
      <c r="J264" s="39">
        <v>2339</v>
      </c>
      <c r="K264" s="39">
        <v>19670</v>
      </c>
      <c r="L264" s="43">
        <v>324</v>
      </c>
    </row>
    <row r="265" spans="1:12" s="40" customFormat="1" ht="12.75" customHeight="1" x14ac:dyDescent="0.3">
      <c r="A265" s="16">
        <v>3990</v>
      </c>
      <c r="B265" s="17">
        <v>41</v>
      </c>
      <c r="C265" s="17">
        <v>4</v>
      </c>
      <c r="D265" s="17">
        <v>1</v>
      </c>
      <c r="E265" s="18" t="s">
        <v>275</v>
      </c>
      <c r="F265" s="39">
        <v>14615</v>
      </c>
      <c r="G265" s="39">
        <v>1270</v>
      </c>
      <c r="H265" s="39">
        <v>6693</v>
      </c>
      <c r="I265" s="39">
        <v>22578</v>
      </c>
      <c r="J265" s="39">
        <v>1163</v>
      </c>
      <c r="K265" s="39">
        <v>23741</v>
      </c>
      <c r="L265" s="43">
        <v>606</v>
      </c>
    </row>
    <row r="266" spans="1:12" s="40" customFormat="1" ht="12.75" customHeight="1" x14ac:dyDescent="0.3">
      <c r="A266" s="16">
        <v>4011</v>
      </c>
      <c r="B266" s="17">
        <v>51</v>
      </c>
      <c r="C266" s="17">
        <v>2</v>
      </c>
      <c r="D266" s="17">
        <v>3</v>
      </c>
      <c r="E266" s="18" t="s">
        <v>276</v>
      </c>
      <c r="F266" s="39">
        <v>17154</v>
      </c>
      <c r="G266" s="39">
        <v>767</v>
      </c>
      <c r="H266" s="39">
        <v>0</v>
      </c>
      <c r="I266" s="39">
        <v>17920</v>
      </c>
      <c r="J266" s="39">
        <v>0</v>
      </c>
      <c r="K266" s="39">
        <v>17920</v>
      </c>
      <c r="L266" s="43">
        <v>74</v>
      </c>
    </row>
    <row r="267" spans="1:12" s="40" customFormat="1" ht="12.75" customHeight="1" x14ac:dyDescent="0.3">
      <c r="A267" s="16">
        <v>4018</v>
      </c>
      <c r="B267" s="17">
        <v>40</v>
      </c>
      <c r="C267" s="17">
        <v>1</v>
      </c>
      <c r="D267" s="17">
        <v>1</v>
      </c>
      <c r="E267" s="18" t="s">
        <v>277</v>
      </c>
      <c r="F267" s="39">
        <v>11945</v>
      </c>
      <c r="G267" s="39">
        <v>679</v>
      </c>
      <c r="H267" s="39">
        <v>2845</v>
      </c>
      <c r="I267" s="39">
        <v>15469</v>
      </c>
      <c r="J267" s="39">
        <v>794</v>
      </c>
      <c r="K267" s="39">
        <v>16263</v>
      </c>
      <c r="L267" s="43">
        <v>6356</v>
      </c>
    </row>
    <row r="268" spans="1:12" s="40" customFormat="1" ht="12.75" customHeight="1" x14ac:dyDescent="0.3">
      <c r="A268" s="16">
        <v>4025</v>
      </c>
      <c r="B268" s="17">
        <v>20</v>
      </c>
      <c r="C268" s="17">
        <v>6</v>
      </c>
      <c r="D268" s="17">
        <v>1</v>
      </c>
      <c r="E268" s="18" t="s">
        <v>278</v>
      </c>
      <c r="F268" s="39">
        <v>16295</v>
      </c>
      <c r="G268" s="39">
        <v>681</v>
      </c>
      <c r="H268" s="39">
        <v>2426</v>
      </c>
      <c r="I268" s="39">
        <v>19402</v>
      </c>
      <c r="J268" s="39">
        <v>1624</v>
      </c>
      <c r="K268" s="39">
        <v>21026</v>
      </c>
      <c r="L268" s="43">
        <v>475</v>
      </c>
    </row>
    <row r="269" spans="1:12" s="40" customFormat="1" ht="12.75" customHeight="1" x14ac:dyDescent="0.3">
      <c r="A269" s="16">
        <v>4060</v>
      </c>
      <c r="B269" s="17">
        <v>67</v>
      </c>
      <c r="C269" s="17">
        <v>1</v>
      </c>
      <c r="D269" s="17">
        <v>1</v>
      </c>
      <c r="E269" s="18" t="s">
        <v>279</v>
      </c>
      <c r="F269" s="39">
        <v>13354</v>
      </c>
      <c r="G269" s="39">
        <v>485</v>
      </c>
      <c r="H269" s="39">
        <v>3099</v>
      </c>
      <c r="I269" s="39">
        <v>16938</v>
      </c>
      <c r="J269" s="39">
        <v>681</v>
      </c>
      <c r="K269" s="39">
        <v>17619</v>
      </c>
      <c r="L269" s="43">
        <v>5439</v>
      </c>
    </row>
    <row r="270" spans="1:12" s="40" customFormat="1" ht="12.75" customHeight="1" x14ac:dyDescent="0.3">
      <c r="A270" s="16">
        <v>4067</v>
      </c>
      <c r="B270" s="17">
        <v>42</v>
      </c>
      <c r="C270" s="17">
        <v>8</v>
      </c>
      <c r="D270" s="17">
        <v>1</v>
      </c>
      <c r="E270" s="18" t="s">
        <v>280</v>
      </c>
      <c r="F270" s="39">
        <v>13604</v>
      </c>
      <c r="G270" s="39">
        <v>630</v>
      </c>
      <c r="H270" s="39">
        <v>3442</v>
      </c>
      <c r="I270" s="39">
        <v>17676</v>
      </c>
      <c r="J270" s="39">
        <v>721</v>
      </c>
      <c r="K270" s="39">
        <v>18397</v>
      </c>
      <c r="L270" s="43">
        <v>1036</v>
      </c>
    </row>
    <row r="271" spans="1:12" s="40" customFormat="1" ht="12.75" customHeight="1" x14ac:dyDescent="0.3">
      <c r="A271" s="16">
        <v>4074</v>
      </c>
      <c r="B271" s="17">
        <v>42</v>
      </c>
      <c r="C271" s="17">
        <v>8</v>
      </c>
      <c r="D271" s="17">
        <v>1</v>
      </c>
      <c r="E271" s="18" t="s">
        <v>281</v>
      </c>
      <c r="F271" s="39">
        <v>14658</v>
      </c>
      <c r="G271" s="39">
        <v>725</v>
      </c>
      <c r="H271" s="39">
        <v>1626</v>
      </c>
      <c r="I271" s="39">
        <v>17009</v>
      </c>
      <c r="J271" s="39">
        <v>705</v>
      </c>
      <c r="K271" s="39">
        <v>17714</v>
      </c>
      <c r="L271" s="43">
        <v>1814</v>
      </c>
    </row>
    <row r="272" spans="1:12" s="40" customFormat="1" ht="12.75" customHeight="1" x14ac:dyDescent="0.3">
      <c r="A272" s="16">
        <v>4088</v>
      </c>
      <c r="B272" s="17">
        <v>70</v>
      </c>
      <c r="C272" s="17">
        <v>6</v>
      </c>
      <c r="D272" s="17">
        <v>1</v>
      </c>
      <c r="E272" s="18" t="s">
        <v>282</v>
      </c>
      <c r="F272" s="39">
        <v>13778</v>
      </c>
      <c r="G272" s="39">
        <v>849</v>
      </c>
      <c r="H272" s="39">
        <v>439</v>
      </c>
      <c r="I272" s="39">
        <v>15067</v>
      </c>
      <c r="J272" s="39">
        <v>872</v>
      </c>
      <c r="K272" s="39">
        <v>15939</v>
      </c>
      <c r="L272" s="43">
        <v>1267</v>
      </c>
    </row>
    <row r="273" spans="1:12" s="40" customFormat="1" ht="12.75" customHeight="1" x14ac:dyDescent="0.3">
      <c r="A273" s="16">
        <v>4095</v>
      </c>
      <c r="B273" s="17">
        <v>32</v>
      </c>
      <c r="C273" s="17">
        <v>4</v>
      </c>
      <c r="D273" s="17">
        <v>1</v>
      </c>
      <c r="E273" s="18" t="s">
        <v>283</v>
      </c>
      <c r="F273" s="39">
        <v>14205</v>
      </c>
      <c r="G273" s="39">
        <v>681</v>
      </c>
      <c r="H273" s="39">
        <v>2288</v>
      </c>
      <c r="I273" s="39">
        <v>17173</v>
      </c>
      <c r="J273" s="39">
        <v>626</v>
      </c>
      <c r="K273" s="39">
        <v>17799</v>
      </c>
      <c r="L273" s="43">
        <v>2775</v>
      </c>
    </row>
    <row r="274" spans="1:12" s="40" customFormat="1" ht="12.75" customHeight="1" x14ac:dyDescent="0.3">
      <c r="A274" s="16">
        <v>4137</v>
      </c>
      <c r="B274" s="17">
        <v>59</v>
      </c>
      <c r="C274" s="17">
        <v>7</v>
      </c>
      <c r="D274" s="17">
        <v>1</v>
      </c>
      <c r="E274" s="18" t="s">
        <v>284</v>
      </c>
      <c r="F274" s="39">
        <v>12605</v>
      </c>
      <c r="G274" s="39">
        <v>586</v>
      </c>
      <c r="H274" s="39">
        <v>1376</v>
      </c>
      <c r="I274" s="39">
        <v>14567</v>
      </c>
      <c r="J274" s="39">
        <v>724</v>
      </c>
      <c r="K274" s="39">
        <v>15290</v>
      </c>
      <c r="L274" s="43">
        <v>999</v>
      </c>
    </row>
    <row r="275" spans="1:12" s="40" customFormat="1" ht="12.75" customHeight="1" x14ac:dyDescent="0.3">
      <c r="A275" s="16">
        <v>4144</v>
      </c>
      <c r="B275" s="17">
        <v>13</v>
      </c>
      <c r="C275" s="17">
        <v>2</v>
      </c>
      <c r="D275" s="17">
        <v>1</v>
      </c>
      <c r="E275" s="18" t="s">
        <v>285</v>
      </c>
      <c r="F275" s="39">
        <v>15125</v>
      </c>
      <c r="G275" s="39">
        <v>786</v>
      </c>
      <c r="H275" s="39">
        <v>2022</v>
      </c>
      <c r="I275" s="39">
        <v>17932</v>
      </c>
      <c r="J275" s="39">
        <v>868</v>
      </c>
      <c r="K275" s="39">
        <v>18800</v>
      </c>
      <c r="L275" s="43">
        <v>3916</v>
      </c>
    </row>
    <row r="276" spans="1:12" s="40" customFormat="1" ht="12.75" customHeight="1" x14ac:dyDescent="0.3">
      <c r="A276" s="16">
        <v>4165</v>
      </c>
      <c r="B276" s="17">
        <v>48</v>
      </c>
      <c r="C276" s="17">
        <v>11</v>
      </c>
      <c r="D276" s="17">
        <v>1</v>
      </c>
      <c r="E276" s="18" t="s">
        <v>286</v>
      </c>
      <c r="F276" s="39">
        <v>14375</v>
      </c>
      <c r="G276" s="39">
        <v>660</v>
      </c>
      <c r="H276" s="39">
        <v>1357</v>
      </c>
      <c r="I276" s="39">
        <v>16393</v>
      </c>
      <c r="J276" s="39">
        <v>1182</v>
      </c>
      <c r="K276" s="39">
        <v>17575</v>
      </c>
      <c r="L276" s="43">
        <v>1515</v>
      </c>
    </row>
    <row r="277" spans="1:12" s="40" customFormat="1" ht="12.75" customHeight="1" x14ac:dyDescent="0.3">
      <c r="A277" s="16">
        <v>4179</v>
      </c>
      <c r="B277" s="17">
        <v>70</v>
      </c>
      <c r="C277" s="17">
        <v>6</v>
      </c>
      <c r="D277" s="17">
        <v>1</v>
      </c>
      <c r="E277" s="18" t="s">
        <v>287</v>
      </c>
      <c r="F277" s="39">
        <v>14746</v>
      </c>
      <c r="G277" s="39">
        <v>424</v>
      </c>
      <c r="H277" s="39">
        <v>2510</v>
      </c>
      <c r="I277" s="39">
        <v>17680</v>
      </c>
      <c r="J277" s="39">
        <v>895</v>
      </c>
      <c r="K277" s="39">
        <v>18575</v>
      </c>
      <c r="L277" s="43">
        <v>9974</v>
      </c>
    </row>
    <row r="278" spans="1:12" s="40" customFormat="1" ht="12.75" customHeight="1" x14ac:dyDescent="0.3">
      <c r="A278" s="16">
        <v>4186</v>
      </c>
      <c r="B278" s="17">
        <v>61</v>
      </c>
      <c r="C278" s="17">
        <v>10</v>
      </c>
      <c r="D278" s="17">
        <v>1</v>
      </c>
      <c r="E278" s="18" t="s">
        <v>288</v>
      </c>
      <c r="F278" s="39">
        <v>16035</v>
      </c>
      <c r="G278" s="39">
        <v>1015</v>
      </c>
      <c r="H278" s="39">
        <v>1501</v>
      </c>
      <c r="I278" s="39">
        <v>18551</v>
      </c>
      <c r="J278" s="39">
        <v>894</v>
      </c>
      <c r="K278" s="39">
        <v>19445</v>
      </c>
      <c r="L278" s="43">
        <v>857</v>
      </c>
    </row>
    <row r="279" spans="1:12" s="40" customFormat="1" ht="12.75" customHeight="1" x14ac:dyDescent="0.3">
      <c r="A279" s="16">
        <v>4207</v>
      </c>
      <c r="B279" s="17">
        <v>10</v>
      </c>
      <c r="C279" s="17">
        <v>10</v>
      </c>
      <c r="D279" s="17">
        <v>1</v>
      </c>
      <c r="E279" s="18" t="s">
        <v>289</v>
      </c>
      <c r="F279" s="39">
        <v>14953</v>
      </c>
      <c r="G279" s="39">
        <v>1167</v>
      </c>
      <c r="H279" s="39">
        <v>2316</v>
      </c>
      <c r="I279" s="39">
        <v>18436</v>
      </c>
      <c r="J279" s="39">
        <v>923</v>
      </c>
      <c r="K279" s="39">
        <v>19359</v>
      </c>
      <c r="L279" s="43">
        <v>460</v>
      </c>
    </row>
    <row r="280" spans="1:12" s="40" customFormat="1" ht="12.75" customHeight="1" x14ac:dyDescent="0.3">
      <c r="A280" s="16">
        <v>4221</v>
      </c>
      <c r="B280" s="17">
        <v>28</v>
      </c>
      <c r="C280" s="17">
        <v>2</v>
      </c>
      <c r="D280" s="17">
        <v>1</v>
      </c>
      <c r="E280" s="18" t="s">
        <v>290</v>
      </c>
      <c r="F280" s="39">
        <v>14592</v>
      </c>
      <c r="G280" s="39">
        <v>632</v>
      </c>
      <c r="H280" s="39">
        <v>1684</v>
      </c>
      <c r="I280" s="39">
        <v>16909</v>
      </c>
      <c r="J280" s="39">
        <v>756</v>
      </c>
      <c r="K280" s="39">
        <v>17665</v>
      </c>
      <c r="L280" s="43">
        <v>912</v>
      </c>
    </row>
    <row r="281" spans="1:12" s="40" customFormat="1" ht="12.75" customHeight="1" x14ac:dyDescent="0.3">
      <c r="A281" s="16">
        <v>4228</v>
      </c>
      <c r="B281" s="17">
        <v>11</v>
      </c>
      <c r="C281" s="17">
        <v>5</v>
      </c>
      <c r="D281" s="17">
        <v>1</v>
      </c>
      <c r="E281" s="18" t="s">
        <v>291</v>
      </c>
      <c r="F281" s="39">
        <v>13930</v>
      </c>
      <c r="G281" s="39">
        <v>759</v>
      </c>
      <c r="H281" s="39">
        <v>928</v>
      </c>
      <c r="I281" s="39">
        <v>15616</v>
      </c>
      <c r="J281" s="39">
        <v>685</v>
      </c>
      <c r="K281" s="39">
        <v>16302</v>
      </c>
      <c r="L281" s="43">
        <v>876</v>
      </c>
    </row>
    <row r="282" spans="1:12" s="40" customFormat="1" ht="12.75" customHeight="1" x14ac:dyDescent="0.3">
      <c r="A282" s="16">
        <v>4235</v>
      </c>
      <c r="B282" s="17">
        <v>30</v>
      </c>
      <c r="C282" s="17">
        <v>2</v>
      </c>
      <c r="D282" s="17">
        <v>3</v>
      </c>
      <c r="E282" s="18" t="s">
        <v>292</v>
      </c>
      <c r="F282" s="39">
        <v>16586</v>
      </c>
      <c r="G282" s="39">
        <v>918</v>
      </c>
      <c r="H282" s="39">
        <v>582</v>
      </c>
      <c r="I282" s="39">
        <v>18086</v>
      </c>
      <c r="J282" s="39">
        <v>690</v>
      </c>
      <c r="K282" s="39">
        <v>18776</v>
      </c>
      <c r="L282" s="43">
        <v>153</v>
      </c>
    </row>
    <row r="283" spans="1:12" s="40" customFormat="1" ht="12.75" customHeight="1" x14ac:dyDescent="0.3">
      <c r="A283" s="16">
        <v>4151</v>
      </c>
      <c r="B283" s="17">
        <v>53</v>
      </c>
      <c r="C283" s="17">
        <v>2</v>
      </c>
      <c r="D283" s="17">
        <v>1</v>
      </c>
      <c r="E283" s="18" t="s">
        <v>293</v>
      </c>
      <c r="F283" s="39">
        <v>13007</v>
      </c>
      <c r="G283" s="39">
        <v>666</v>
      </c>
      <c r="H283" s="39">
        <v>1403</v>
      </c>
      <c r="I283" s="39">
        <v>15076</v>
      </c>
      <c r="J283" s="39">
        <v>628</v>
      </c>
      <c r="K283" s="39">
        <v>15704</v>
      </c>
      <c r="L283" s="43">
        <v>913</v>
      </c>
    </row>
    <row r="284" spans="1:12" s="40" customFormat="1" ht="12.75" customHeight="1" x14ac:dyDescent="0.3">
      <c r="A284" s="16">
        <v>490</v>
      </c>
      <c r="B284" s="17">
        <v>33</v>
      </c>
      <c r="C284" s="17">
        <v>3</v>
      </c>
      <c r="D284" s="17">
        <v>1</v>
      </c>
      <c r="E284" s="18" t="s">
        <v>294</v>
      </c>
      <c r="F284" s="39">
        <v>15736</v>
      </c>
      <c r="G284" s="39">
        <v>771</v>
      </c>
      <c r="H284" s="39">
        <v>756</v>
      </c>
      <c r="I284" s="39">
        <v>17264</v>
      </c>
      <c r="J284" s="39">
        <v>877</v>
      </c>
      <c r="K284" s="39">
        <v>18140</v>
      </c>
      <c r="L284" s="43">
        <v>443</v>
      </c>
    </row>
    <row r="285" spans="1:12" s="40" customFormat="1" ht="12.75" customHeight="1" x14ac:dyDescent="0.3">
      <c r="A285" s="16">
        <v>4270</v>
      </c>
      <c r="B285" s="17">
        <v>46</v>
      </c>
      <c r="C285" s="17">
        <v>11</v>
      </c>
      <c r="D285" s="17">
        <v>1</v>
      </c>
      <c r="E285" s="18" t="s">
        <v>295</v>
      </c>
      <c r="F285" s="39">
        <v>22648</v>
      </c>
      <c r="G285" s="39">
        <v>1405</v>
      </c>
      <c r="H285" s="39">
        <v>490</v>
      </c>
      <c r="I285" s="39">
        <v>24543</v>
      </c>
      <c r="J285" s="39">
        <v>1550</v>
      </c>
      <c r="K285" s="39">
        <v>26093</v>
      </c>
      <c r="L285" s="43">
        <v>255</v>
      </c>
    </row>
    <row r="286" spans="1:12" s="40" customFormat="1" ht="12.75" customHeight="1" x14ac:dyDescent="0.3">
      <c r="A286" s="16">
        <v>4305</v>
      </c>
      <c r="B286" s="17">
        <v>38</v>
      </c>
      <c r="C286" s="17">
        <v>8</v>
      </c>
      <c r="D286" s="17">
        <v>1</v>
      </c>
      <c r="E286" s="18" t="s">
        <v>296</v>
      </c>
      <c r="F286" s="39">
        <v>14032</v>
      </c>
      <c r="G286" s="39">
        <v>643</v>
      </c>
      <c r="H286" s="39">
        <v>1735</v>
      </c>
      <c r="I286" s="39">
        <v>16409</v>
      </c>
      <c r="J286" s="39">
        <v>666</v>
      </c>
      <c r="K286" s="39">
        <v>17076</v>
      </c>
      <c r="L286" s="43">
        <v>955</v>
      </c>
    </row>
    <row r="287" spans="1:12" s="40" customFormat="1" ht="12.75" customHeight="1" x14ac:dyDescent="0.3">
      <c r="A287" s="16">
        <v>4312</v>
      </c>
      <c r="B287" s="17">
        <v>67</v>
      </c>
      <c r="C287" s="17">
        <v>1</v>
      </c>
      <c r="D287" s="17">
        <v>1</v>
      </c>
      <c r="E287" s="18" t="s">
        <v>297</v>
      </c>
      <c r="F287" s="39">
        <v>13358</v>
      </c>
      <c r="G287" s="39">
        <v>532</v>
      </c>
      <c r="H287" s="39">
        <v>5461</v>
      </c>
      <c r="I287" s="39">
        <v>19352</v>
      </c>
      <c r="J287" s="39">
        <v>535</v>
      </c>
      <c r="K287" s="39">
        <v>19887</v>
      </c>
      <c r="L287" s="43">
        <v>2769</v>
      </c>
    </row>
    <row r="288" spans="1:12" s="40" customFormat="1" ht="12.75" customHeight="1" x14ac:dyDescent="0.3">
      <c r="A288" s="16">
        <v>4330</v>
      </c>
      <c r="B288" s="17">
        <v>63</v>
      </c>
      <c r="C288" s="17">
        <v>9</v>
      </c>
      <c r="D288" s="17">
        <v>1</v>
      </c>
      <c r="E288" s="18" t="s">
        <v>298</v>
      </c>
      <c r="F288" s="39">
        <v>28007</v>
      </c>
      <c r="G288" s="39">
        <v>1432</v>
      </c>
      <c r="H288" s="39">
        <v>55</v>
      </c>
      <c r="I288" s="39">
        <v>29494</v>
      </c>
      <c r="J288" s="39">
        <v>3669</v>
      </c>
      <c r="K288" s="39">
        <v>33163</v>
      </c>
      <c r="L288" s="43">
        <v>103</v>
      </c>
    </row>
    <row r="289" spans="1:12" s="40" customFormat="1" ht="12.75" customHeight="1" x14ac:dyDescent="0.3">
      <c r="A289" s="16">
        <v>4347</v>
      </c>
      <c r="B289" s="17">
        <v>50</v>
      </c>
      <c r="C289" s="17">
        <v>12</v>
      </c>
      <c r="D289" s="17">
        <v>1</v>
      </c>
      <c r="E289" s="18" t="s">
        <v>299</v>
      </c>
      <c r="F289" s="39">
        <v>14940</v>
      </c>
      <c r="G289" s="39">
        <v>1044</v>
      </c>
      <c r="H289" s="39">
        <v>2111</v>
      </c>
      <c r="I289" s="39">
        <v>18094</v>
      </c>
      <c r="J289" s="39">
        <v>1358</v>
      </c>
      <c r="K289" s="39">
        <v>19452</v>
      </c>
      <c r="L289" s="43">
        <v>710</v>
      </c>
    </row>
    <row r="290" spans="1:12" s="40" customFormat="1" ht="12.75" customHeight="1" x14ac:dyDescent="0.3">
      <c r="A290" s="16">
        <v>4368</v>
      </c>
      <c r="B290" s="17">
        <v>71</v>
      </c>
      <c r="C290" s="17">
        <v>5</v>
      </c>
      <c r="D290" s="17">
        <v>1</v>
      </c>
      <c r="E290" s="18" t="s">
        <v>300</v>
      </c>
      <c r="F290" s="39">
        <v>15638</v>
      </c>
      <c r="G290" s="39">
        <v>1231</v>
      </c>
      <c r="H290" s="39">
        <v>1298</v>
      </c>
      <c r="I290" s="39">
        <v>18167</v>
      </c>
      <c r="J290" s="39">
        <v>2250</v>
      </c>
      <c r="K290" s="39">
        <v>20417</v>
      </c>
      <c r="L290" s="43">
        <v>524</v>
      </c>
    </row>
    <row r="291" spans="1:12" s="40" customFormat="1" ht="12.75" customHeight="1" x14ac:dyDescent="0.3">
      <c r="A291" s="16">
        <v>4389</v>
      </c>
      <c r="B291" s="17">
        <v>22</v>
      </c>
      <c r="C291" s="17">
        <v>3</v>
      </c>
      <c r="D291" s="17">
        <v>1</v>
      </c>
      <c r="E291" s="18" t="s">
        <v>301</v>
      </c>
      <c r="F291" s="39">
        <v>13291</v>
      </c>
      <c r="G291" s="39">
        <v>467</v>
      </c>
      <c r="H291" s="39">
        <v>2424</v>
      </c>
      <c r="I291" s="39">
        <v>16181</v>
      </c>
      <c r="J291" s="39">
        <v>729</v>
      </c>
      <c r="K291" s="39">
        <v>16910</v>
      </c>
      <c r="L291" s="43">
        <v>1591</v>
      </c>
    </row>
    <row r="292" spans="1:12" s="40" customFormat="1" ht="12.75" customHeight="1" x14ac:dyDescent="0.3">
      <c r="A292" s="16">
        <v>4459</v>
      </c>
      <c r="B292" s="17">
        <v>47</v>
      </c>
      <c r="C292" s="17">
        <v>11</v>
      </c>
      <c r="D292" s="17">
        <v>1</v>
      </c>
      <c r="E292" s="18" t="s">
        <v>302</v>
      </c>
      <c r="F292" s="39">
        <v>21542</v>
      </c>
      <c r="G292" s="39">
        <v>729</v>
      </c>
      <c r="H292" s="39">
        <v>1099</v>
      </c>
      <c r="I292" s="39">
        <v>23370</v>
      </c>
      <c r="J292" s="39">
        <v>826</v>
      </c>
      <c r="K292" s="39">
        <v>24195</v>
      </c>
      <c r="L292" s="43">
        <v>239</v>
      </c>
    </row>
    <row r="293" spans="1:12" s="40" customFormat="1" ht="12.75" customHeight="1" x14ac:dyDescent="0.3">
      <c r="A293" s="16">
        <v>4473</v>
      </c>
      <c r="B293" s="17">
        <v>59</v>
      </c>
      <c r="C293" s="17">
        <v>7</v>
      </c>
      <c r="D293" s="17">
        <v>1</v>
      </c>
      <c r="E293" s="18" t="s">
        <v>303</v>
      </c>
      <c r="F293" s="39">
        <v>13622</v>
      </c>
      <c r="G293" s="39">
        <v>442</v>
      </c>
      <c r="H293" s="39">
        <v>1413</v>
      </c>
      <c r="I293" s="39">
        <v>15476</v>
      </c>
      <c r="J293" s="39">
        <v>1028</v>
      </c>
      <c r="K293" s="39">
        <v>16504</v>
      </c>
      <c r="L293" s="43">
        <v>2132</v>
      </c>
    </row>
    <row r="294" spans="1:12" s="40" customFormat="1" ht="12.75" customHeight="1" x14ac:dyDescent="0.3">
      <c r="A294" s="16">
        <v>4508</v>
      </c>
      <c r="B294" s="17">
        <v>71</v>
      </c>
      <c r="C294" s="17">
        <v>5</v>
      </c>
      <c r="D294" s="17">
        <v>1</v>
      </c>
      <c r="E294" s="18" t="s">
        <v>304</v>
      </c>
      <c r="F294" s="39">
        <v>14847</v>
      </c>
      <c r="G294" s="39">
        <v>688</v>
      </c>
      <c r="H294" s="39">
        <v>0</v>
      </c>
      <c r="I294" s="39">
        <v>15535</v>
      </c>
      <c r="J294" s="39">
        <v>895</v>
      </c>
      <c r="K294" s="39">
        <v>16430</v>
      </c>
      <c r="L294" s="43">
        <v>454</v>
      </c>
    </row>
    <row r="295" spans="1:12" s="40" customFormat="1" ht="12.75" customHeight="1" x14ac:dyDescent="0.3">
      <c r="A295" s="16">
        <v>4515</v>
      </c>
      <c r="B295" s="17">
        <v>45</v>
      </c>
      <c r="C295" s="17">
        <v>1</v>
      </c>
      <c r="D295" s="17">
        <v>1</v>
      </c>
      <c r="E295" s="18" t="s">
        <v>305</v>
      </c>
      <c r="F295" s="39">
        <v>13736</v>
      </c>
      <c r="G295" s="39">
        <v>431</v>
      </c>
      <c r="H295" s="39">
        <v>1235</v>
      </c>
      <c r="I295" s="39">
        <v>15401</v>
      </c>
      <c r="J295" s="39">
        <v>669</v>
      </c>
      <c r="K295" s="39">
        <v>16070</v>
      </c>
      <c r="L295" s="43">
        <v>2617</v>
      </c>
    </row>
    <row r="296" spans="1:12" s="40" customFormat="1" ht="12.75" customHeight="1" x14ac:dyDescent="0.3">
      <c r="A296" s="16">
        <v>4501</v>
      </c>
      <c r="B296" s="17">
        <v>11</v>
      </c>
      <c r="C296" s="17">
        <v>5</v>
      </c>
      <c r="D296" s="17">
        <v>1</v>
      </c>
      <c r="E296" s="18" t="s">
        <v>306</v>
      </c>
      <c r="F296" s="39">
        <v>14562</v>
      </c>
      <c r="G296" s="39">
        <v>756</v>
      </c>
      <c r="H296" s="39">
        <v>719</v>
      </c>
      <c r="I296" s="39">
        <v>16037</v>
      </c>
      <c r="J296" s="39">
        <v>536</v>
      </c>
      <c r="K296" s="39">
        <v>16573</v>
      </c>
      <c r="L296" s="43">
        <v>2106</v>
      </c>
    </row>
    <row r="297" spans="1:12" s="40" customFormat="1" ht="12.75" customHeight="1" x14ac:dyDescent="0.3">
      <c r="A297" s="16">
        <v>4529</v>
      </c>
      <c r="B297" s="17">
        <v>22</v>
      </c>
      <c r="C297" s="17">
        <v>3</v>
      </c>
      <c r="D297" s="17">
        <v>1</v>
      </c>
      <c r="E297" s="18" t="s">
        <v>307</v>
      </c>
      <c r="F297" s="39">
        <v>17073</v>
      </c>
      <c r="G297" s="39">
        <v>841</v>
      </c>
      <c r="H297" s="39">
        <v>1372</v>
      </c>
      <c r="I297" s="39">
        <v>19286</v>
      </c>
      <c r="J297" s="39">
        <v>1176</v>
      </c>
      <c r="K297" s="39">
        <v>20462</v>
      </c>
      <c r="L297" s="43">
        <v>312</v>
      </c>
    </row>
    <row r="298" spans="1:12" s="40" customFormat="1" ht="12.75" customHeight="1" x14ac:dyDescent="0.3">
      <c r="A298" s="16">
        <v>4536</v>
      </c>
      <c r="B298" s="17">
        <v>11</v>
      </c>
      <c r="C298" s="17">
        <v>5</v>
      </c>
      <c r="D298" s="17">
        <v>1</v>
      </c>
      <c r="E298" s="18" t="s">
        <v>308</v>
      </c>
      <c r="F298" s="39">
        <v>14533</v>
      </c>
      <c r="G298" s="39">
        <v>652</v>
      </c>
      <c r="H298" s="39">
        <v>2029</v>
      </c>
      <c r="I298" s="39">
        <v>17214</v>
      </c>
      <c r="J298" s="39">
        <v>712</v>
      </c>
      <c r="K298" s="39">
        <v>17926</v>
      </c>
      <c r="L298" s="43">
        <v>1009</v>
      </c>
    </row>
    <row r="299" spans="1:12" s="40" customFormat="1" ht="12.75" customHeight="1" x14ac:dyDescent="0.3">
      <c r="A299" s="16">
        <v>4543</v>
      </c>
      <c r="B299" s="17">
        <v>12</v>
      </c>
      <c r="C299" s="17">
        <v>3</v>
      </c>
      <c r="D299" s="17">
        <v>1</v>
      </c>
      <c r="E299" s="18" t="s">
        <v>309</v>
      </c>
      <c r="F299" s="39">
        <v>15292</v>
      </c>
      <c r="G299" s="39">
        <v>584</v>
      </c>
      <c r="H299" s="39">
        <v>2355</v>
      </c>
      <c r="I299" s="39">
        <v>18230</v>
      </c>
      <c r="J299" s="39">
        <v>881</v>
      </c>
      <c r="K299" s="39">
        <v>19112</v>
      </c>
      <c r="L299" s="43">
        <v>989</v>
      </c>
    </row>
    <row r="300" spans="1:12" s="40" customFormat="1" ht="12.75" customHeight="1" x14ac:dyDescent="0.3">
      <c r="A300" s="16">
        <v>4557</v>
      </c>
      <c r="B300" s="17">
        <v>3</v>
      </c>
      <c r="C300" s="17">
        <v>11</v>
      </c>
      <c r="D300" s="17">
        <v>1</v>
      </c>
      <c r="E300" s="18" t="s">
        <v>310</v>
      </c>
      <c r="F300" s="39">
        <v>18179</v>
      </c>
      <c r="G300" s="39">
        <v>642</v>
      </c>
      <c r="H300" s="39">
        <v>408</v>
      </c>
      <c r="I300" s="39">
        <v>19229</v>
      </c>
      <c r="J300" s="39">
        <v>2311</v>
      </c>
      <c r="K300" s="39">
        <v>21540</v>
      </c>
      <c r="L300" s="43">
        <v>283</v>
      </c>
    </row>
    <row r="301" spans="1:12" s="40" customFormat="1" ht="12.75" customHeight="1" x14ac:dyDescent="0.3">
      <c r="A301" s="16">
        <v>4571</v>
      </c>
      <c r="B301" s="17">
        <v>50</v>
      </c>
      <c r="C301" s="17">
        <v>9</v>
      </c>
      <c r="D301" s="17">
        <v>1</v>
      </c>
      <c r="E301" s="18" t="s">
        <v>311</v>
      </c>
      <c r="F301" s="39">
        <v>15953</v>
      </c>
      <c r="G301" s="39">
        <v>643</v>
      </c>
      <c r="H301" s="39">
        <v>3225</v>
      </c>
      <c r="I301" s="39">
        <v>19821</v>
      </c>
      <c r="J301" s="39">
        <v>561</v>
      </c>
      <c r="K301" s="39">
        <v>20382</v>
      </c>
      <c r="L301" s="43">
        <v>388</v>
      </c>
    </row>
    <row r="302" spans="1:12" s="40" customFormat="1" ht="12.75" customHeight="1" x14ac:dyDescent="0.3">
      <c r="A302" s="16">
        <v>4578</v>
      </c>
      <c r="B302" s="17">
        <v>47</v>
      </c>
      <c r="C302" s="17">
        <v>11</v>
      </c>
      <c r="D302" s="17">
        <v>1</v>
      </c>
      <c r="E302" s="18" t="s">
        <v>312</v>
      </c>
      <c r="F302" s="39">
        <v>13038</v>
      </c>
      <c r="G302" s="39">
        <v>693</v>
      </c>
      <c r="H302" s="39">
        <v>3728</v>
      </c>
      <c r="I302" s="39">
        <v>17459</v>
      </c>
      <c r="J302" s="39">
        <v>1013</v>
      </c>
      <c r="K302" s="39">
        <v>18472</v>
      </c>
      <c r="L302" s="43">
        <v>1352</v>
      </c>
    </row>
    <row r="303" spans="1:12" s="40" customFormat="1" ht="12.75" customHeight="1" x14ac:dyDescent="0.3">
      <c r="A303" s="16">
        <v>4606</v>
      </c>
      <c r="B303" s="17">
        <v>24</v>
      </c>
      <c r="C303" s="17">
        <v>5</v>
      </c>
      <c r="D303" s="17">
        <v>1</v>
      </c>
      <c r="E303" s="18" t="s">
        <v>313</v>
      </c>
      <c r="F303" s="39">
        <v>15808</v>
      </c>
      <c r="G303" s="39">
        <v>768</v>
      </c>
      <c r="H303" s="39">
        <v>493</v>
      </c>
      <c r="I303" s="39">
        <v>17069</v>
      </c>
      <c r="J303" s="39">
        <v>866</v>
      </c>
      <c r="K303" s="39">
        <v>17935</v>
      </c>
      <c r="L303" s="43">
        <v>352</v>
      </c>
    </row>
    <row r="304" spans="1:12" s="40" customFormat="1" ht="12.75" customHeight="1" x14ac:dyDescent="0.3">
      <c r="A304" s="16">
        <v>4613</v>
      </c>
      <c r="B304" s="17">
        <v>5</v>
      </c>
      <c r="C304" s="17">
        <v>7</v>
      </c>
      <c r="D304" s="17">
        <v>1</v>
      </c>
      <c r="E304" s="18" t="s">
        <v>314</v>
      </c>
      <c r="F304" s="39">
        <v>12823</v>
      </c>
      <c r="G304" s="39">
        <v>636</v>
      </c>
      <c r="H304" s="39">
        <v>1263</v>
      </c>
      <c r="I304" s="39">
        <v>14721</v>
      </c>
      <c r="J304" s="39">
        <v>810</v>
      </c>
      <c r="K304" s="39">
        <v>15531</v>
      </c>
      <c r="L304" s="43">
        <v>4147</v>
      </c>
    </row>
    <row r="305" spans="1:12" s="40" customFormat="1" ht="12.75" customHeight="1" x14ac:dyDescent="0.3">
      <c r="A305" s="16">
        <v>4620</v>
      </c>
      <c r="B305" s="17">
        <v>51</v>
      </c>
      <c r="C305" s="17">
        <v>1</v>
      </c>
      <c r="D305" s="17">
        <v>1</v>
      </c>
      <c r="E305" s="18" t="s">
        <v>315</v>
      </c>
      <c r="F305" s="39">
        <v>15138</v>
      </c>
      <c r="G305" s="39">
        <v>531</v>
      </c>
      <c r="H305" s="39">
        <v>625</v>
      </c>
      <c r="I305" s="39">
        <v>16294</v>
      </c>
      <c r="J305" s="39">
        <v>876</v>
      </c>
      <c r="K305" s="39">
        <v>17170</v>
      </c>
      <c r="L305" s="43">
        <v>21113</v>
      </c>
    </row>
    <row r="306" spans="1:12" s="40" customFormat="1" ht="12.75" customHeight="1" x14ac:dyDescent="0.3">
      <c r="A306" s="16">
        <v>4627</v>
      </c>
      <c r="B306" s="17">
        <v>30</v>
      </c>
      <c r="C306" s="17">
        <v>2</v>
      </c>
      <c r="D306" s="17">
        <v>3</v>
      </c>
      <c r="E306" s="18" t="s">
        <v>316</v>
      </c>
      <c r="F306" s="39">
        <v>15255</v>
      </c>
      <c r="G306" s="39">
        <v>760</v>
      </c>
      <c r="H306" s="39">
        <v>4094</v>
      </c>
      <c r="I306" s="39">
        <v>20109</v>
      </c>
      <c r="J306" s="39">
        <v>533</v>
      </c>
      <c r="K306" s="39">
        <v>20642</v>
      </c>
      <c r="L306" s="43">
        <v>559</v>
      </c>
    </row>
    <row r="307" spans="1:12" s="40" customFormat="1" ht="12.75" customHeight="1" x14ac:dyDescent="0.3">
      <c r="A307" s="16">
        <v>4634</v>
      </c>
      <c r="B307" s="17">
        <v>11</v>
      </c>
      <c r="C307" s="17">
        <v>5</v>
      </c>
      <c r="D307" s="17">
        <v>1</v>
      </c>
      <c r="E307" s="18" t="s">
        <v>317</v>
      </c>
      <c r="F307" s="39">
        <v>15888</v>
      </c>
      <c r="G307" s="39">
        <v>989</v>
      </c>
      <c r="H307" s="39">
        <v>4330</v>
      </c>
      <c r="I307" s="39">
        <v>21207</v>
      </c>
      <c r="J307" s="39">
        <v>631</v>
      </c>
      <c r="K307" s="39">
        <v>21839</v>
      </c>
      <c r="L307" s="43">
        <v>488</v>
      </c>
    </row>
    <row r="308" spans="1:12" s="40" customFormat="1" ht="12.75" customHeight="1" x14ac:dyDescent="0.3">
      <c r="A308" s="16">
        <v>4641</v>
      </c>
      <c r="B308" s="17">
        <v>59</v>
      </c>
      <c r="C308" s="17">
        <v>7</v>
      </c>
      <c r="D308" s="17">
        <v>1</v>
      </c>
      <c r="E308" s="18" t="s">
        <v>318</v>
      </c>
      <c r="F308" s="39">
        <v>14235</v>
      </c>
      <c r="G308" s="39">
        <v>504</v>
      </c>
      <c r="H308" s="39">
        <v>2241</v>
      </c>
      <c r="I308" s="39">
        <v>16980</v>
      </c>
      <c r="J308" s="39">
        <v>1596</v>
      </c>
      <c r="K308" s="39">
        <v>18576</v>
      </c>
      <c r="L308" s="43">
        <v>749</v>
      </c>
    </row>
    <row r="309" spans="1:12" s="40" customFormat="1" ht="12.75" customHeight="1" x14ac:dyDescent="0.3">
      <c r="A309" s="16">
        <v>4686</v>
      </c>
      <c r="B309" s="17">
        <v>51</v>
      </c>
      <c r="C309" s="17">
        <v>2</v>
      </c>
      <c r="D309" s="17">
        <v>3</v>
      </c>
      <c r="E309" s="18" t="s">
        <v>319</v>
      </c>
      <c r="F309" s="39">
        <v>17328</v>
      </c>
      <c r="G309" s="39">
        <v>1176</v>
      </c>
      <c r="H309" s="39">
        <v>443</v>
      </c>
      <c r="I309" s="39">
        <v>18947</v>
      </c>
      <c r="J309" s="39">
        <v>0</v>
      </c>
      <c r="K309" s="39">
        <v>18947</v>
      </c>
      <c r="L309" s="43">
        <v>320</v>
      </c>
    </row>
    <row r="310" spans="1:12" s="40" customFormat="1" ht="12.75" customHeight="1" x14ac:dyDescent="0.3">
      <c r="A310" s="16">
        <v>4753</v>
      </c>
      <c r="B310" s="17">
        <v>56</v>
      </c>
      <c r="C310" s="17">
        <v>5</v>
      </c>
      <c r="D310" s="17">
        <v>1</v>
      </c>
      <c r="E310" s="18" t="s">
        <v>320</v>
      </c>
      <c r="F310" s="39">
        <v>13696</v>
      </c>
      <c r="G310" s="39">
        <v>588</v>
      </c>
      <c r="H310" s="39">
        <v>2196</v>
      </c>
      <c r="I310" s="39">
        <v>16480</v>
      </c>
      <c r="J310" s="39">
        <v>669</v>
      </c>
      <c r="K310" s="39">
        <v>17149</v>
      </c>
      <c r="L310" s="43">
        <v>2679</v>
      </c>
    </row>
    <row r="311" spans="1:12" s="40" customFormat="1" ht="12.75" customHeight="1" x14ac:dyDescent="0.3">
      <c r="A311" s="16">
        <v>4760</v>
      </c>
      <c r="B311" s="17">
        <v>36</v>
      </c>
      <c r="C311" s="17">
        <v>7</v>
      </c>
      <c r="D311" s="17">
        <v>1</v>
      </c>
      <c r="E311" s="18" t="s">
        <v>321</v>
      </c>
      <c r="F311" s="39">
        <v>13495</v>
      </c>
      <c r="G311" s="39">
        <v>871</v>
      </c>
      <c r="H311" s="39">
        <v>366</v>
      </c>
      <c r="I311" s="39">
        <v>14733</v>
      </c>
      <c r="J311" s="39">
        <v>1079</v>
      </c>
      <c r="K311" s="39">
        <v>15812</v>
      </c>
      <c r="L311" s="43">
        <v>698</v>
      </c>
    </row>
    <row r="312" spans="1:12" s="40" customFormat="1" ht="12.75" customHeight="1" x14ac:dyDescent="0.3">
      <c r="A312" s="16">
        <v>4781</v>
      </c>
      <c r="B312" s="17">
        <v>43</v>
      </c>
      <c r="C312" s="17">
        <v>9</v>
      </c>
      <c r="D312" s="17">
        <v>1</v>
      </c>
      <c r="E312" s="18" t="s">
        <v>322</v>
      </c>
      <c r="F312" s="39">
        <v>16575</v>
      </c>
      <c r="G312" s="39">
        <v>675</v>
      </c>
      <c r="H312" s="39">
        <v>643</v>
      </c>
      <c r="I312" s="39">
        <v>17893</v>
      </c>
      <c r="J312" s="39">
        <v>1175</v>
      </c>
      <c r="K312" s="39">
        <v>19068</v>
      </c>
      <c r="L312" s="43">
        <v>2359</v>
      </c>
    </row>
    <row r="313" spans="1:12" s="40" customFormat="1" ht="12.75" customHeight="1" x14ac:dyDescent="0.3">
      <c r="A313" s="16">
        <v>4795</v>
      </c>
      <c r="B313" s="17">
        <v>60</v>
      </c>
      <c r="C313" s="17">
        <v>9</v>
      </c>
      <c r="D313" s="17">
        <v>1</v>
      </c>
      <c r="E313" s="18" t="s">
        <v>323</v>
      </c>
      <c r="F313" s="39">
        <v>13503</v>
      </c>
      <c r="G313" s="39">
        <v>645</v>
      </c>
      <c r="H313" s="39">
        <v>1455</v>
      </c>
      <c r="I313" s="39">
        <v>15603</v>
      </c>
      <c r="J313" s="39">
        <v>613</v>
      </c>
      <c r="K313" s="39">
        <v>16216</v>
      </c>
      <c r="L313" s="43">
        <v>531</v>
      </c>
    </row>
    <row r="314" spans="1:12" s="40" customFormat="1" ht="12.75" customHeight="1" x14ac:dyDescent="0.3">
      <c r="A314" s="16">
        <v>4802</v>
      </c>
      <c r="B314" s="17">
        <v>3</v>
      </c>
      <c r="C314" s="17">
        <v>11</v>
      </c>
      <c r="D314" s="17">
        <v>1</v>
      </c>
      <c r="E314" s="18" t="s">
        <v>324</v>
      </c>
      <c r="F314" s="39">
        <v>14627</v>
      </c>
      <c r="G314" s="39">
        <v>927</v>
      </c>
      <c r="H314" s="39">
        <v>1650</v>
      </c>
      <c r="I314" s="39">
        <v>17205</v>
      </c>
      <c r="J314" s="39">
        <v>1068</v>
      </c>
      <c r="K314" s="39">
        <v>18273</v>
      </c>
      <c r="L314" s="43">
        <v>2274</v>
      </c>
    </row>
    <row r="315" spans="1:12" s="40" customFormat="1" ht="12.75" customHeight="1" x14ac:dyDescent="0.3">
      <c r="A315" s="16">
        <v>4851</v>
      </c>
      <c r="B315" s="17">
        <v>52</v>
      </c>
      <c r="C315" s="17">
        <v>3</v>
      </c>
      <c r="D315" s="17">
        <v>1</v>
      </c>
      <c r="E315" s="18" t="s">
        <v>325</v>
      </c>
      <c r="F315" s="39">
        <v>15659</v>
      </c>
      <c r="G315" s="39">
        <v>1005</v>
      </c>
      <c r="H315" s="39">
        <v>3328</v>
      </c>
      <c r="I315" s="39">
        <v>19992</v>
      </c>
      <c r="J315" s="39">
        <v>823</v>
      </c>
      <c r="K315" s="39">
        <v>20815</v>
      </c>
      <c r="L315" s="43">
        <v>1344</v>
      </c>
    </row>
    <row r="316" spans="1:12" s="40" customFormat="1" ht="12.75" customHeight="1" x14ac:dyDescent="0.3">
      <c r="A316" s="16">
        <v>3122</v>
      </c>
      <c r="B316" s="17">
        <v>67</v>
      </c>
      <c r="C316" s="17">
        <v>1</v>
      </c>
      <c r="D316" s="17">
        <v>3</v>
      </c>
      <c r="E316" s="18" t="s">
        <v>326</v>
      </c>
      <c r="F316" s="39">
        <v>11872</v>
      </c>
      <c r="G316" s="39">
        <v>503</v>
      </c>
      <c r="H316" s="39">
        <v>1021</v>
      </c>
      <c r="I316" s="39">
        <v>13396</v>
      </c>
      <c r="J316" s="39">
        <v>412</v>
      </c>
      <c r="K316" s="39">
        <v>13808</v>
      </c>
      <c r="L316" s="43">
        <v>400</v>
      </c>
    </row>
    <row r="317" spans="1:12" s="40" customFormat="1" ht="12.75" customHeight="1" x14ac:dyDescent="0.3">
      <c r="A317" s="16">
        <v>4865</v>
      </c>
      <c r="B317" s="17">
        <v>11</v>
      </c>
      <c r="C317" s="17">
        <v>5</v>
      </c>
      <c r="D317" s="17">
        <v>1</v>
      </c>
      <c r="E317" s="18" t="s">
        <v>327</v>
      </c>
      <c r="F317" s="39">
        <v>17477</v>
      </c>
      <c r="G317" s="39">
        <v>739</v>
      </c>
      <c r="H317" s="39">
        <v>556</v>
      </c>
      <c r="I317" s="39">
        <v>18773</v>
      </c>
      <c r="J317" s="39">
        <v>1013</v>
      </c>
      <c r="K317" s="39">
        <v>19786</v>
      </c>
      <c r="L317" s="43">
        <v>405</v>
      </c>
    </row>
    <row r="318" spans="1:12" s="40" customFormat="1" ht="12.75" customHeight="1" x14ac:dyDescent="0.3">
      <c r="A318" s="16">
        <v>4872</v>
      </c>
      <c r="B318" s="17">
        <v>20</v>
      </c>
      <c r="C318" s="17">
        <v>6</v>
      </c>
      <c r="D318" s="17">
        <v>1</v>
      </c>
      <c r="E318" s="18" t="s">
        <v>328</v>
      </c>
      <c r="F318" s="39">
        <v>14722</v>
      </c>
      <c r="G318" s="39">
        <v>615</v>
      </c>
      <c r="H318" s="39">
        <v>1542</v>
      </c>
      <c r="I318" s="39">
        <v>16879</v>
      </c>
      <c r="J318" s="39">
        <v>862</v>
      </c>
      <c r="K318" s="39">
        <v>17741</v>
      </c>
      <c r="L318" s="43">
        <v>1508</v>
      </c>
    </row>
    <row r="319" spans="1:12" s="40" customFormat="1" ht="12.75" customHeight="1" x14ac:dyDescent="0.3">
      <c r="A319" s="16">
        <v>4893</v>
      </c>
      <c r="B319" s="17">
        <v>47</v>
      </c>
      <c r="C319" s="17">
        <v>11</v>
      </c>
      <c r="D319" s="17">
        <v>1</v>
      </c>
      <c r="E319" s="18" t="s">
        <v>329</v>
      </c>
      <c r="F319" s="39">
        <v>12201</v>
      </c>
      <c r="G319" s="39">
        <v>584</v>
      </c>
      <c r="H319" s="39">
        <v>1751</v>
      </c>
      <c r="I319" s="39">
        <v>14536</v>
      </c>
      <c r="J319" s="39">
        <v>989</v>
      </c>
      <c r="K319" s="39">
        <v>15525</v>
      </c>
      <c r="L319" s="43">
        <v>3410</v>
      </c>
    </row>
    <row r="320" spans="1:12" s="40" customFormat="1" ht="12.75" customHeight="1" x14ac:dyDescent="0.3">
      <c r="A320" s="16">
        <v>4904</v>
      </c>
      <c r="B320" s="17">
        <v>22</v>
      </c>
      <c r="C320" s="17">
        <v>3</v>
      </c>
      <c r="D320" s="17">
        <v>1</v>
      </c>
      <c r="E320" s="18" t="s">
        <v>330</v>
      </c>
      <c r="F320" s="39">
        <v>16398</v>
      </c>
      <c r="G320" s="39">
        <v>1398</v>
      </c>
      <c r="H320" s="39">
        <v>1372</v>
      </c>
      <c r="I320" s="39">
        <v>19169</v>
      </c>
      <c r="J320" s="39">
        <v>782</v>
      </c>
      <c r="K320" s="39">
        <v>19951</v>
      </c>
      <c r="L320" s="43">
        <v>516</v>
      </c>
    </row>
    <row r="321" spans="1:12" s="40" customFormat="1" ht="12.75" customHeight="1" x14ac:dyDescent="0.3">
      <c r="A321" s="16">
        <v>5523</v>
      </c>
      <c r="B321" s="17">
        <v>56</v>
      </c>
      <c r="C321" s="17">
        <v>3</v>
      </c>
      <c r="D321" s="17">
        <v>1</v>
      </c>
      <c r="E321" s="18" t="s">
        <v>331</v>
      </c>
      <c r="F321" s="39">
        <v>15594</v>
      </c>
      <c r="G321" s="39">
        <v>1066</v>
      </c>
      <c r="H321" s="39">
        <v>923</v>
      </c>
      <c r="I321" s="39">
        <v>17584</v>
      </c>
      <c r="J321" s="39">
        <v>638</v>
      </c>
      <c r="K321" s="39">
        <v>18222</v>
      </c>
      <c r="L321" s="43">
        <v>1163</v>
      </c>
    </row>
    <row r="322" spans="1:12" s="40" customFormat="1" ht="12.75" customHeight="1" x14ac:dyDescent="0.3">
      <c r="A322" s="16">
        <v>3850</v>
      </c>
      <c r="B322" s="17">
        <v>22</v>
      </c>
      <c r="C322" s="17">
        <v>3</v>
      </c>
      <c r="D322" s="17">
        <v>1</v>
      </c>
      <c r="E322" s="18" t="s">
        <v>332</v>
      </c>
      <c r="F322" s="39">
        <v>15555</v>
      </c>
      <c r="G322" s="39">
        <v>787</v>
      </c>
      <c r="H322" s="39">
        <v>1398</v>
      </c>
      <c r="I322" s="39">
        <v>17740</v>
      </c>
      <c r="J322" s="39">
        <v>830</v>
      </c>
      <c r="K322" s="39">
        <v>18570</v>
      </c>
      <c r="L322" s="43">
        <v>694</v>
      </c>
    </row>
    <row r="323" spans="1:12" s="40" customFormat="1" ht="12.75" customHeight="1" x14ac:dyDescent="0.3">
      <c r="A323" s="16">
        <v>4956</v>
      </c>
      <c r="B323" s="17">
        <v>20</v>
      </c>
      <c r="C323" s="17">
        <v>6</v>
      </c>
      <c r="D323" s="17">
        <v>1</v>
      </c>
      <c r="E323" s="18" t="s">
        <v>333</v>
      </c>
      <c r="F323" s="39">
        <v>12598</v>
      </c>
      <c r="G323" s="39">
        <v>991</v>
      </c>
      <c r="H323" s="39">
        <v>1715</v>
      </c>
      <c r="I323" s="39">
        <v>15304</v>
      </c>
      <c r="J323" s="39">
        <v>634</v>
      </c>
      <c r="K323" s="39">
        <v>15938</v>
      </c>
      <c r="L323" s="43">
        <v>846</v>
      </c>
    </row>
    <row r="324" spans="1:12" s="40" customFormat="1" ht="12.75" customHeight="1" x14ac:dyDescent="0.3">
      <c r="A324" s="16">
        <v>4963</v>
      </c>
      <c r="B324" s="17">
        <v>49</v>
      </c>
      <c r="C324" s="17">
        <v>5</v>
      </c>
      <c r="D324" s="17">
        <v>1</v>
      </c>
      <c r="E324" s="18" t="s">
        <v>334</v>
      </c>
      <c r="F324" s="39">
        <v>16999</v>
      </c>
      <c r="G324" s="39">
        <v>786</v>
      </c>
      <c r="H324" s="39">
        <v>0</v>
      </c>
      <c r="I324" s="39">
        <v>17785</v>
      </c>
      <c r="J324" s="39">
        <v>502</v>
      </c>
      <c r="K324" s="39">
        <v>18287</v>
      </c>
      <c r="L324" s="43">
        <v>547</v>
      </c>
    </row>
    <row r="325" spans="1:12" s="40" customFormat="1" ht="12.75" customHeight="1" x14ac:dyDescent="0.3">
      <c r="A325" s="16">
        <v>1673</v>
      </c>
      <c r="B325" s="17">
        <v>29</v>
      </c>
      <c r="C325" s="17">
        <v>4</v>
      </c>
      <c r="D325" s="17">
        <v>1</v>
      </c>
      <c r="E325" s="18" t="s">
        <v>335</v>
      </c>
      <c r="F325" s="39">
        <v>17168</v>
      </c>
      <c r="G325" s="39">
        <v>1216</v>
      </c>
      <c r="H325" s="39">
        <v>1897</v>
      </c>
      <c r="I325" s="39">
        <v>20281</v>
      </c>
      <c r="J325" s="39">
        <v>1186</v>
      </c>
      <c r="K325" s="39">
        <v>21466</v>
      </c>
      <c r="L325" s="44">
        <v>476</v>
      </c>
    </row>
    <row r="326" spans="1:12" s="40" customFormat="1" ht="12.75" customHeight="1" x14ac:dyDescent="0.3">
      <c r="A326" s="16">
        <v>2422</v>
      </c>
      <c r="B326" s="17">
        <v>55</v>
      </c>
      <c r="C326" s="17">
        <v>11</v>
      </c>
      <c r="D326" s="17">
        <v>1</v>
      </c>
      <c r="E326" s="18" t="s">
        <v>336</v>
      </c>
      <c r="F326" s="39">
        <v>14314</v>
      </c>
      <c r="G326" s="39">
        <v>586</v>
      </c>
      <c r="H326" s="39">
        <v>6044</v>
      </c>
      <c r="I326" s="39">
        <v>20944</v>
      </c>
      <c r="J326" s="39">
        <v>976</v>
      </c>
      <c r="K326" s="39">
        <v>21920</v>
      </c>
      <c r="L326" s="43">
        <v>1633</v>
      </c>
    </row>
    <row r="327" spans="1:12" s="40" customFormat="1" ht="12.75" customHeight="1" x14ac:dyDescent="0.3">
      <c r="A327" s="16">
        <v>5019</v>
      </c>
      <c r="B327" s="17">
        <v>48</v>
      </c>
      <c r="C327" s="17">
        <v>11</v>
      </c>
      <c r="D327" s="17">
        <v>1</v>
      </c>
      <c r="E327" s="18" t="s">
        <v>337</v>
      </c>
      <c r="F327" s="39">
        <v>13376</v>
      </c>
      <c r="G327" s="39">
        <v>527</v>
      </c>
      <c r="H327" s="39">
        <v>2058</v>
      </c>
      <c r="I327" s="39">
        <v>15960</v>
      </c>
      <c r="J327" s="39">
        <v>1871</v>
      </c>
      <c r="K327" s="39">
        <v>17831</v>
      </c>
      <c r="L327" s="43">
        <v>1110</v>
      </c>
    </row>
    <row r="328" spans="1:12" s="40" customFormat="1" ht="12.75" customHeight="1" x14ac:dyDescent="0.3">
      <c r="A328" s="16">
        <v>5026</v>
      </c>
      <c r="B328" s="17">
        <v>40</v>
      </c>
      <c r="C328" s="17">
        <v>1</v>
      </c>
      <c r="D328" s="17">
        <v>1</v>
      </c>
      <c r="E328" s="18" t="s">
        <v>338</v>
      </c>
      <c r="F328" s="39">
        <v>16772</v>
      </c>
      <c r="G328" s="39">
        <v>165</v>
      </c>
      <c r="H328" s="39">
        <v>5135</v>
      </c>
      <c r="I328" s="39">
        <v>22073</v>
      </c>
      <c r="J328" s="39">
        <v>1312</v>
      </c>
      <c r="K328" s="39">
        <v>23385</v>
      </c>
      <c r="L328" s="43">
        <v>811</v>
      </c>
    </row>
    <row r="329" spans="1:12" s="40" customFormat="1" ht="12.75" customHeight="1" x14ac:dyDescent="0.3">
      <c r="A329" s="16">
        <v>5068</v>
      </c>
      <c r="B329" s="17">
        <v>30</v>
      </c>
      <c r="C329" s="17">
        <v>2</v>
      </c>
      <c r="D329" s="17">
        <v>3</v>
      </c>
      <c r="E329" s="18" t="s">
        <v>339</v>
      </c>
      <c r="F329" s="39">
        <v>14106</v>
      </c>
      <c r="G329" s="39">
        <v>680</v>
      </c>
      <c r="H329" s="39">
        <v>2467</v>
      </c>
      <c r="I329" s="39">
        <v>17253</v>
      </c>
      <c r="J329" s="39">
        <v>527</v>
      </c>
      <c r="K329" s="39">
        <v>17780</v>
      </c>
      <c r="L329" s="43">
        <v>1043</v>
      </c>
    </row>
    <row r="330" spans="1:12" s="40" customFormat="1" ht="12.75" customHeight="1" x14ac:dyDescent="0.3">
      <c r="A330" s="16">
        <v>5100</v>
      </c>
      <c r="B330" s="17">
        <v>56</v>
      </c>
      <c r="C330" s="17">
        <v>5</v>
      </c>
      <c r="D330" s="17">
        <v>1</v>
      </c>
      <c r="E330" s="18" t="s">
        <v>340</v>
      </c>
      <c r="F330" s="39">
        <v>13564</v>
      </c>
      <c r="G330" s="39">
        <v>677</v>
      </c>
      <c r="H330" s="39">
        <v>3355</v>
      </c>
      <c r="I330" s="39">
        <v>17596</v>
      </c>
      <c r="J330" s="39">
        <v>1305</v>
      </c>
      <c r="K330" s="39">
        <v>18901</v>
      </c>
      <c r="L330" s="43">
        <v>2625</v>
      </c>
    </row>
    <row r="331" spans="1:12" s="40" customFormat="1" ht="12.75" customHeight="1" x14ac:dyDescent="0.3">
      <c r="A331" s="16">
        <v>5124</v>
      </c>
      <c r="B331" s="17">
        <v>12</v>
      </c>
      <c r="C331" s="17">
        <v>3</v>
      </c>
      <c r="D331" s="17">
        <v>1</v>
      </c>
      <c r="E331" s="18" t="s">
        <v>341</v>
      </c>
      <c r="F331" s="39">
        <v>16403</v>
      </c>
      <c r="G331" s="39">
        <v>1194</v>
      </c>
      <c r="H331" s="39">
        <v>416</v>
      </c>
      <c r="I331" s="39">
        <v>18013</v>
      </c>
      <c r="J331" s="39">
        <v>1370</v>
      </c>
      <c r="K331" s="39">
        <v>19383</v>
      </c>
      <c r="L331" s="43">
        <v>262</v>
      </c>
    </row>
    <row r="332" spans="1:12" s="40" customFormat="1" ht="12.75" customHeight="1" x14ac:dyDescent="0.3">
      <c r="A332" s="16">
        <v>5130</v>
      </c>
      <c r="B332" s="17">
        <v>15</v>
      </c>
      <c r="C332" s="17">
        <v>7</v>
      </c>
      <c r="D332" s="17">
        <v>1</v>
      </c>
      <c r="E332" s="18" t="s">
        <v>342</v>
      </c>
      <c r="F332" s="39">
        <v>18982</v>
      </c>
      <c r="G332" s="39">
        <v>1056</v>
      </c>
      <c r="H332" s="39">
        <v>9523</v>
      </c>
      <c r="I332" s="39">
        <v>29561</v>
      </c>
      <c r="J332" s="39">
        <v>622</v>
      </c>
      <c r="K332" s="39">
        <v>30184</v>
      </c>
      <c r="L332" s="43">
        <v>538</v>
      </c>
    </row>
    <row r="333" spans="1:12" s="40" customFormat="1" ht="12.75" customHeight="1" x14ac:dyDescent="0.3">
      <c r="A333" s="16">
        <v>5138</v>
      </c>
      <c r="B333" s="17">
        <v>44</v>
      </c>
      <c r="C333" s="17">
        <v>7</v>
      </c>
      <c r="D333" s="17">
        <v>1</v>
      </c>
      <c r="E333" s="18" t="s">
        <v>343</v>
      </c>
      <c r="F333" s="39">
        <v>15214</v>
      </c>
      <c r="G333" s="39">
        <v>850</v>
      </c>
      <c r="H333" s="39">
        <v>1744</v>
      </c>
      <c r="I333" s="39">
        <v>17808</v>
      </c>
      <c r="J333" s="39">
        <v>992</v>
      </c>
      <c r="K333" s="39">
        <v>18801</v>
      </c>
      <c r="L333" s="43">
        <v>1998</v>
      </c>
    </row>
    <row r="334" spans="1:12" s="40" customFormat="1" ht="12.75" customHeight="1" x14ac:dyDescent="0.3">
      <c r="A334" s="16">
        <v>5258</v>
      </c>
      <c r="B334" s="17">
        <v>64</v>
      </c>
      <c r="C334" s="17">
        <v>2</v>
      </c>
      <c r="D334" s="17">
        <v>3</v>
      </c>
      <c r="E334" s="18" t="s">
        <v>344</v>
      </c>
      <c r="F334" s="39">
        <v>15558</v>
      </c>
      <c r="G334" s="39">
        <v>258</v>
      </c>
      <c r="H334" s="39">
        <v>1827</v>
      </c>
      <c r="I334" s="39">
        <v>17644</v>
      </c>
      <c r="J334" s="39">
        <v>1871</v>
      </c>
      <c r="K334" s="39">
        <v>19515</v>
      </c>
      <c r="L334" s="43">
        <v>208</v>
      </c>
    </row>
    <row r="335" spans="1:12" s="40" customFormat="1" ht="12.75" customHeight="1" x14ac:dyDescent="0.3">
      <c r="A335" s="16">
        <v>5264</v>
      </c>
      <c r="B335" s="17">
        <v>58</v>
      </c>
      <c r="C335" s="17">
        <v>8</v>
      </c>
      <c r="D335" s="17">
        <v>1</v>
      </c>
      <c r="E335" s="18" t="s">
        <v>345</v>
      </c>
      <c r="F335" s="39">
        <v>13635</v>
      </c>
      <c r="G335" s="39">
        <v>542</v>
      </c>
      <c r="H335" s="39">
        <v>1245</v>
      </c>
      <c r="I335" s="39">
        <v>15421</v>
      </c>
      <c r="J335" s="39">
        <v>992</v>
      </c>
      <c r="K335" s="39">
        <v>16413</v>
      </c>
      <c r="L335" s="43">
        <v>2351</v>
      </c>
    </row>
    <row r="336" spans="1:12" s="40" customFormat="1" ht="12.75" customHeight="1" x14ac:dyDescent="0.3">
      <c r="A336" s="16">
        <v>5271</v>
      </c>
      <c r="B336" s="17">
        <v>59</v>
      </c>
      <c r="C336" s="17">
        <v>7</v>
      </c>
      <c r="D336" s="17">
        <v>1</v>
      </c>
      <c r="E336" s="18" t="s">
        <v>346</v>
      </c>
      <c r="F336" s="39">
        <v>13996</v>
      </c>
      <c r="G336" s="39">
        <v>265</v>
      </c>
      <c r="H336" s="39">
        <v>1061</v>
      </c>
      <c r="I336" s="39">
        <v>15322</v>
      </c>
      <c r="J336" s="39">
        <v>954</v>
      </c>
      <c r="K336" s="39">
        <v>16277</v>
      </c>
      <c r="L336" s="43">
        <v>10211</v>
      </c>
    </row>
    <row r="337" spans="1:12" s="40" customFormat="1" ht="12.75" customHeight="1" x14ac:dyDescent="0.3">
      <c r="A337" s="16">
        <v>5278</v>
      </c>
      <c r="B337" s="17">
        <v>59</v>
      </c>
      <c r="C337" s="17">
        <v>7</v>
      </c>
      <c r="D337" s="17">
        <v>1</v>
      </c>
      <c r="E337" s="18" t="s">
        <v>347</v>
      </c>
      <c r="F337" s="39">
        <v>13270</v>
      </c>
      <c r="G337" s="39">
        <v>522</v>
      </c>
      <c r="H337" s="39">
        <v>2628</v>
      </c>
      <c r="I337" s="39">
        <v>16420</v>
      </c>
      <c r="J337" s="39">
        <v>954</v>
      </c>
      <c r="K337" s="39">
        <v>17374</v>
      </c>
      <c r="L337" s="43">
        <v>1682</v>
      </c>
    </row>
    <row r="338" spans="1:12" s="40" customFormat="1" ht="12.75" customHeight="1" x14ac:dyDescent="0.3">
      <c r="A338" s="16">
        <v>5306</v>
      </c>
      <c r="B338" s="17">
        <v>65</v>
      </c>
      <c r="C338" s="17">
        <v>11</v>
      </c>
      <c r="D338" s="17">
        <v>1</v>
      </c>
      <c r="E338" s="18" t="s">
        <v>348</v>
      </c>
      <c r="F338" s="39">
        <v>16416</v>
      </c>
      <c r="G338" s="39">
        <v>891</v>
      </c>
      <c r="H338" s="39">
        <v>2196</v>
      </c>
      <c r="I338" s="39">
        <v>19503</v>
      </c>
      <c r="J338" s="39">
        <v>1208</v>
      </c>
      <c r="K338" s="39">
        <v>20712</v>
      </c>
      <c r="L338" s="43">
        <v>571</v>
      </c>
    </row>
    <row r="339" spans="1:12" s="40" customFormat="1" ht="12.75" customHeight="1" x14ac:dyDescent="0.3">
      <c r="A339" s="16">
        <v>5348</v>
      </c>
      <c r="B339" s="17">
        <v>44</v>
      </c>
      <c r="C339" s="17">
        <v>6</v>
      </c>
      <c r="D339" s="17">
        <v>1</v>
      </c>
      <c r="E339" s="18" t="s">
        <v>349</v>
      </c>
      <c r="F339" s="39">
        <v>16223</v>
      </c>
      <c r="G339" s="39">
        <v>876</v>
      </c>
      <c r="H339" s="39">
        <v>369</v>
      </c>
      <c r="I339" s="39">
        <v>17468</v>
      </c>
      <c r="J339" s="39">
        <v>1883</v>
      </c>
      <c r="K339" s="39">
        <v>19351</v>
      </c>
      <c r="L339" s="43">
        <v>714</v>
      </c>
    </row>
    <row r="340" spans="1:12" s="40" customFormat="1" ht="12.75" customHeight="1" x14ac:dyDescent="0.3">
      <c r="A340" s="16">
        <v>5355</v>
      </c>
      <c r="B340" s="17">
        <v>40</v>
      </c>
      <c r="C340" s="17">
        <v>1</v>
      </c>
      <c r="D340" s="17">
        <v>1</v>
      </c>
      <c r="E340" s="18" t="s">
        <v>350</v>
      </c>
      <c r="F340" s="39">
        <v>15530</v>
      </c>
      <c r="G340" s="39">
        <v>161</v>
      </c>
      <c r="H340" s="39">
        <v>2398</v>
      </c>
      <c r="I340" s="39">
        <v>18089</v>
      </c>
      <c r="J340" s="39">
        <v>1725</v>
      </c>
      <c r="K340" s="39">
        <v>19814</v>
      </c>
      <c r="L340" s="43">
        <v>1710</v>
      </c>
    </row>
    <row r="341" spans="1:12" s="40" customFormat="1" ht="12.75" customHeight="1" x14ac:dyDescent="0.3">
      <c r="A341" s="16">
        <v>5362</v>
      </c>
      <c r="B341" s="17">
        <v>33</v>
      </c>
      <c r="C341" s="17">
        <v>3</v>
      </c>
      <c r="D341" s="17">
        <v>1</v>
      </c>
      <c r="E341" s="18" t="s">
        <v>351</v>
      </c>
      <c r="F341" s="39">
        <v>15649</v>
      </c>
      <c r="G341" s="39">
        <v>697</v>
      </c>
      <c r="H341" s="39">
        <v>512</v>
      </c>
      <c r="I341" s="39">
        <v>16857</v>
      </c>
      <c r="J341" s="39">
        <v>1985</v>
      </c>
      <c r="K341" s="39">
        <v>18843</v>
      </c>
      <c r="L341" s="43">
        <v>331</v>
      </c>
    </row>
    <row r="342" spans="1:12" s="40" customFormat="1" ht="12.75" customHeight="1" x14ac:dyDescent="0.3">
      <c r="A342" s="16">
        <v>5369</v>
      </c>
      <c r="B342" s="17">
        <v>30</v>
      </c>
      <c r="C342" s="17">
        <v>2</v>
      </c>
      <c r="D342" s="17">
        <v>3</v>
      </c>
      <c r="E342" s="18" t="s">
        <v>352</v>
      </c>
      <c r="F342" s="39">
        <v>13805</v>
      </c>
      <c r="G342" s="39">
        <v>341</v>
      </c>
      <c r="H342" s="39">
        <v>1459</v>
      </c>
      <c r="I342" s="39">
        <v>15605</v>
      </c>
      <c r="J342" s="39">
        <v>721</v>
      </c>
      <c r="K342" s="39">
        <v>16326</v>
      </c>
      <c r="L342" s="43">
        <v>395</v>
      </c>
    </row>
    <row r="343" spans="1:12" s="40" customFormat="1" ht="12.75" customHeight="1" x14ac:dyDescent="0.3">
      <c r="A343" s="16">
        <v>5376</v>
      </c>
      <c r="B343" s="17">
        <v>7</v>
      </c>
      <c r="C343" s="17">
        <v>11</v>
      </c>
      <c r="D343" s="17">
        <v>1</v>
      </c>
      <c r="E343" s="18" t="s">
        <v>353</v>
      </c>
      <c r="F343" s="39">
        <v>19531</v>
      </c>
      <c r="G343" s="39">
        <v>1134</v>
      </c>
      <c r="H343" s="39">
        <v>828</v>
      </c>
      <c r="I343" s="39">
        <v>21494</v>
      </c>
      <c r="J343" s="39">
        <v>1288</v>
      </c>
      <c r="K343" s="39">
        <v>22782</v>
      </c>
      <c r="L343" s="43">
        <v>412</v>
      </c>
    </row>
    <row r="344" spans="1:12" s="40" customFormat="1" ht="12.75" customHeight="1" x14ac:dyDescent="0.3">
      <c r="A344" s="16">
        <v>5390</v>
      </c>
      <c r="B344" s="17">
        <v>66</v>
      </c>
      <c r="C344" s="17">
        <v>6</v>
      </c>
      <c r="D344" s="17">
        <v>1</v>
      </c>
      <c r="E344" s="18" t="s">
        <v>354</v>
      </c>
      <c r="F344" s="39">
        <v>12720</v>
      </c>
      <c r="G344" s="39">
        <v>643</v>
      </c>
      <c r="H344" s="39">
        <v>1460</v>
      </c>
      <c r="I344" s="39">
        <v>14823</v>
      </c>
      <c r="J344" s="39">
        <v>637</v>
      </c>
      <c r="K344" s="39">
        <v>15460</v>
      </c>
      <c r="L344" s="43">
        <v>2865</v>
      </c>
    </row>
    <row r="345" spans="1:12" s="40" customFormat="1" ht="12.75" customHeight="1" x14ac:dyDescent="0.3">
      <c r="A345" s="16">
        <v>5397</v>
      </c>
      <c r="B345" s="17">
        <v>16</v>
      </c>
      <c r="C345" s="17">
        <v>12</v>
      </c>
      <c r="D345" s="17">
        <v>1</v>
      </c>
      <c r="E345" s="18" t="s">
        <v>355</v>
      </c>
      <c r="F345" s="39">
        <v>14632</v>
      </c>
      <c r="G345" s="39">
        <v>757</v>
      </c>
      <c r="H345" s="39">
        <v>293</v>
      </c>
      <c r="I345" s="39">
        <v>15682</v>
      </c>
      <c r="J345" s="39">
        <v>2033</v>
      </c>
      <c r="K345" s="39">
        <v>17714</v>
      </c>
      <c r="L345" s="43">
        <v>328</v>
      </c>
    </row>
    <row r="346" spans="1:12" s="40" customFormat="1" ht="12.75" customHeight="1" x14ac:dyDescent="0.3">
      <c r="A346" s="16">
        <v>5432</v>
      </c>
      <c r="B346" s="17">
        <v>55</v>
      </c>
      <c r="C346" s="17">
        <v>11</v>
      </c>
      <c r="D346" s="17">
        <v>1</v>
      </c>
      <c r="E346" s="18" t="s">
        <v>356</v>
      </c>
      <c r="F346" s="39">
        <v>12126</v>
      </c>
      <c r="G346" s="39">
        <v>746</v>
      </c>
      <c r="H346" s="39">
        <v>1372</v>
      </c>
      <c r="I346" s="39">
        <v>14244</v>
      </c>
      <c r="J346" s="39">
        <v>830</v>
      </c>
      <c r="K346" s="39">
        <v>15074</v>
      </c>
      <c r="L346" s="43">
        <v>1548</v>
      </c>
    </row>
    <row r="347" spans="1:12" s="40" customFormat="1" ht="12.75" customHeight="1" x14ac:dyDescent="0.3">
      <c r="A347" s="16">
        <v>5439</v>
      </c>
      <c r="B347" s="17">
        <v>40</v>
      </c>
      <c r="C347" s="17">
        <v>1</v>
      </c>
      <c r="D347" s="17">
        <v>1</v>
      </c>
      <c r="E347" s="18" t="s">
        <v>357</v>
      </c>
      <c r="F347" s="39">
        <v>15106</v>
      </c>
      <c r="G347" s="39">
        <v>190</v>
      </c>
      <c r="H347" s="39">
        <v>1435</v>
      </c>
      <c r="I347" s="39">
        <v>16730</v>
      </c>
      <c r="J347" s="39">
        <v>1217</v>
      </c>
      <c r="K347" s="39">
        <v>17947</v>
      </c>
      <c r="L347" s="43">
        <v>2832</v>
      </c>
    </row>
    <row r="348" spans="1:12" s="40" customFormat="1" ht="12.75" customHeight="1" x14ac:dyDescent="0.3">
      <c r="A348" s="16">
        <v>4522</v>
      </c>
      <c r="B348" s="17">
        <v>4</v>
      </c>
      <c r="C348" s="17">
        <v>12</v>
      </c>
      <c r="D348" s="17">
        <v>1</v>
      </c>
      <c r="E348" s="18" t="s">
        <v>358</v>
      </c>
      <c r="F348" s="39">
        <v>18170</v>
      </c>
      <c r="G348" s="39">
        <v>1671</v>
      </c>
      <c r="H348" s="39">
        <v>36</v>
      </c>
      <c r="I348" s="39">
        <v>19877</v>
      </c>
      <c r="J348" s="39">
        <v>979</v>
      </c>
      <c r="K348" s="39">
        <v>20856</v>
      </c>
      <c r="L348" s="43">
        <v>232</v>
      </c>
    </row>
    <row r="349" spans="1:12" s="40" customFormat="1" ht="12.75" customHeight="1" x14ac:dyDescent="0.3">
      <c r="A349" s="16">
        <v>5457</v>
      </c>
      <c r="B349" s="17">
        <v>15</v>
      </c>
      <c r="C349" s="17">
        <v>7</v>
      </c>
      <c r="D349" s="17">
        <v>1</v>
      </c>
      <c r="E349" s="18" t="s">
        <v>359</v>
      </c>
      <c r="F349" s="39">
        <v>14830</v>
      </c>
      <c r="G349" s="39">
        <v>784</v>
      </c>
      <c r="H349" s="39">
        <v>3934</v>
      </c>
      <c r="I349" s="39">
        <v>19549</v>
      </c>
      <c r="J349" s="39">
        <v>775</v>
      </c>
      <c r="K349" s="39">
        <v>20323</v>
      </c>
      <c r="L349" s="43">
        <v>1060</v>
      </c>
    </row>
    <row r="350" spans="1:12" s="40" customFormat="1" ht="12.75" customHeight="1" x14ac:dyDescent="0.3">
      <c r="A350" s="16">
        <v>2485</v>
      </c>
      <c r="B350" s="17">
        <v>22</v>
      </c>
      <c r="C350" s="17">
        <v>3</v>
      </c>
      <c r="D350" s="17">
        <v>1</v>
      </c>
      <c r="E350" s="18" t="s">
        <v>360</v>
      </c>
      <c r="F350" s="39">
        <v>13671</v>
      </c>
      <c r="G350" s="39">
        <v>326</v>
      </c>
      <c r="H350" s="39">
        <v>4074</v>
      </c>
      <c r="I350" s="39">
        <v>18071</v>
      </c>
      <c r="J350" s="39">
        <v>2103</v>
      </c>
      <c r="K350" s="39">
        <v>20173</v>
      </c>
      <c r="L350" s="43">
        <v>554</v>
      </c>
    </row>
    <row r="351" spans="1:12" s="40" customFormat="1" ht="12.75" customHeight="1" x14ac:dyDescent="0.3">
      <c r="A351" s="16">
        <v>5460</v>
      </c>
      <c r="B351" s="17">
        <v>41</v>
      </c>
      <c r="C351" s="17">
        <v>4</v>
      </c>
      <c r="D351" s="17">
        <v>1</v>
      </c>
      <c r="E351" s="18" t="s">
        <v>361</v>
      </c>
      <c r="F351" s="39">
        <v>12799</v>
      </c>
      <c r="G351" s="39">
        <v>896</v>
      </c>
      <c r="H351" s="39">
        <v>2084</v>
      </c>
      <c r="I351" s="39">
        <v>15779</v>
      </c>
      <c r="J351" s="39">
        <v>909</v>
      </c>
      <c r="K351" s="39">
        <v>16688</v>
      </c>
      <c r="L351" s="43">
        <v>3238</v>
      </c>
    </row>
    <row r="352" spans="1:12" s="40" customFormat="1" ht="12.75" customHeight="1" x14ac:dyDescent="0.3">
      <c r="A352" s="16">
        <v>5467</v>
      </c>
      <c r="B352" s="17">
        <v>37</v>
      </c>
      <c r="C352" s="17">
        <v>10</v>
      </c>
      <c r="D352" s="17">
        <v>1</v>
      </c>
      <c r="E352" s="18" t="s">
        <v>362</v>
      </c>
      <c r="F352" s="39">
        <v>13766</v>
      </c>
      <c r="G352" s="39">
        <v>696</v>
      </c>
      <c r="H352" s="39">
        <v>631</v>
      </c>
      <c r="I352" s="39">
        <v>15092</v>
      </c>
      <c r="J352" s="39">
        <v>1168</v>
      </c>
      <c r="K352" s="39">
        <v>16260</v>
      </c>
      <c r="L352" s="43">
        <v>689</v>
      </c>
    </row>
    <row r="353" spans="1:12" s="40" customFormat="1" ht="12.75" customHeight="1" x14ac:dyDescent="0.3">
      <c r="A353" s="16">
        <v>5474</v>
      </c>
      <c r="B353" s="17">
        <v>65</v>
      </c>
      <c r="C353" s="17">
        <v>11</v>
      </c>
      <c r="D353" s="17">
        <v>1</v>
      </c>
      <c r="E353" s="18" t="s">
        <v>363</v>
      </c>
      <c r="F353" s="39">
        <v>13896</v>
      </c>
      <c r="G353" s="39">
        <v>1195</v>
      </c>
      <c r="H353" s="39">
        <v>3450</v>
      </c>
      <c r="I353" s="39">
        <v>18540</v>
      </c>
      <c r="J353" s="39">
        <v>667</v>
      </c>
      <c r="K353" s="39">
        <v>19207</v>
      </c>
      <c r="L353" s="43">
        <v>1198</v>
      </c>
    </row>
    <row r="354" spans="1:12" s="40" customFormat="1" ht="12.75" customHeight="1" x14ac:dyDescent="0.3">
      <c r="A354" s="16">
        <v>5586</v>
      </c>
      <c r="B354" s="17">
        <v>47</v>
      </c>
      <c r="C354" s="17">
        <v>11</v>
      </c>
      <c r="D354" s="17">
        <v>1</v>
      </c>
      <c r="E354" s="18" t="s">
        <v>364</v>
      </c>
      <c r="F354" s="39">
        <v>12985</v>
      </c>
      <c r="G354" s="39">
        <v>809</v>
      </c>
      <c r="H354" s="39">
        <v>2157</v>
      </c>
      <c r="I354" s="39">
        <v>15950</v>
      </c>
      <c r="J354" s="39">
        <v>1132</v>
      </c>
      <c r="K354" s="39">
        <v>17082</v>
      </c>
      <c r="L354" s="43">
        <v>745</v>
      </c>
    </row>
    <row r="355" spans="1:12" s="40" customFormat="1" ht="12.75" customHeight="1" x14ac:dyDescent="0.3">
      <c r="A355" s="16">
        <v>5593</v>
      </c>
      <c r="B355" s="17">
        <v>9</v>
      </c>
      <c r="C355" s="17">
        <v>10</v>
      </c>
      <c r="D355" s="17">
        <v>1</v>
      </c>
      <c r="E355" s="18" t="s">
        <v>365</v>
      </c>
      <c r="F355" s="39">
        <v>12902</v>
      </c>
      <c r="G355" s="39">
        <v>1769</v>
      </c>
      <c r="H355" s="39">
        <v>134</v>
      </c>
      <c r="I355" s="39">
        <v>14805</v>
      </c>
      <c r="J355" s="39">
        <v>911</v>
      </c>
      <c r="K355" s="39">
        <v>15716</v>
      </c>
      <c r="L355" s="43">
        <v>1089</v>
      </c>
    </row>
    <row r="356" spans="1:12" s="40" customFormat="1" ht="12.75" customHeight="1" x14ac:dyDescent="0.3">
      <c r="A356" s="16">
        <v>5607</v>
      </c>
      <c r="B356" s="17">
        <v>49</v>
      </c>
      <c r="C356" s="17">
        <v>5</v>
      </c>
      <c r="D356" s="17">
        <v>1</v>
      </c>
      <c r="E356" s="18" t="s">
        <v>366</v>
      </c>
      <c r="F356" s="39">
        <v>13608</v>
      </c>
      <c r="G356" s="39">
        <v>743</v>
      </c>
      <c r="H356" s="39">
        <v>1815</v>
      </c>
      <c r="I356" s="39">
        <v>16165</v>
      </c>
      <c r="J356" s="39">
        <v>714</v>
      </c>
      <c r="K356" s="39">
        <v>16879</v>
      </c>
      <c r="L356" s="43">
        <v>7508</v>
      </c>
    </row>
    <row r="357" spans="1:12" s="40" customFormat="1" ht="12.75" customHeight="1" x14ac:dyDescent="0.3">
      <c r="A357" s="16">
        <v>5614</v>
      </c>
      <c r="B357" s="17">
        <v>8</v>
      </c>
      <c r="C357" s="17">
        <v>7</v>
      </c>
      <c r="D357" s="17">
        <v>1</v>
      </c>
      <c r="E357" s="18" t="s">
        <v>367</v>
      </c>
      <c r="F357" s="39">
        <v>13959</v>
      </c>
      <c r="G357" s="39">
        <v>367</v>
      </c>
      <c r="H357" s="39">
        <v>149</v>
      </c>
      <c r="I357" s="39">
        <v>14475</v>
      </c>
      <c r="J357" s="39">
        <v>573</v>
      </c>
      <c r="K357" s="39">
        <v>15048</v>
      </c>
      <c r="L357" s="43">
        <v>256</v>
      </c>
    </row>
    <row r="358" spans="1:12" s="40" customFormat="1" ht="12.75" customHeight="1" x14ac:dyDescent="0.3">
      <c r="A358" s="16">
        <v>3542</v>
      </c>
      <c r="B358" s="17">
        <v>67</v>
      </c>
      <c r="C358" s="17">
        <v>1</v>
      </c>
      <c r="D358" s="17">
        <v>3</v>
      </c>
      <c r="E358" s="18" t="s">
        <v>368</v>
      </c>
      <c r="F358" s="39">
        <v>14111</v>
      </c>
      <c r="G358" s="39">
        <v>538</v>
      </c>
      <c r="H358" s="39">
        <v>1045</v>
      </c>
      <c r="I358" s="39">
        <v>15694</v>
      </c>
      <c r="J358" s="39">
        <v>783</v>
      </c>
      <c r="K358" s="39">
        <v>16477</v>
      </c>
      <c r="L358" s="43">
        <v>271</v>
      </c>
    </row>
    <row r="359" spans="1:12" s="40" customFormat="1" ht="12.75" customHeight="1" x14ac:dyDescent="0.3">
      <c r="A359" s="16">
        <v>5621</v>
      </c>
      <c r="B359" s="17">
        <v>13</v>
      </c>
      <c r="C359" s="17">
        <v>2</v>
      </c>
      <c r="D359" s="17">
        <v>1</v>
      </c>
      <c r="E359" s="18" t="s">
        <v>369</v>
      </c>
      <c r="F359" s="39">
        <v>14428</v>
      </c>
      <c r="G359" s="39">
        <v>513</v>
      </c>
      <c r="H359" s="39">
        <v>1635</v>
      </c>
      <c r="I359" s="39">
        <v>16576</v>
      </c>
      <c r="J359" s="39">
        <v>604</v>
      </c>
      <c r="K359" s="39">
        <v>17180</v>
      </c>
      <c r="L359" s="43">
        <v>2839</v>
      </c>
    </row>
    <row r="360" spans="1:12" s="40" customFormat="1" ht="12.75" customHeight="1" x14ac:dyDescent="0.3">
      <c r="A360" s="16">
        <v>5628</v>
      </c>
      <c r="B360" s="17">
        <v>37</v>
      </c>
      <c r="C360" s="17">
        <v>9</v>
      </c>
      <c r="D360" s="17">
        <v>1</v>
      </c>
      <c r="E360" s="18" t="s">
        <v>370</v>
      </c>
      <c r="F360" s="39">
        <v>12486</v>
      </c>
      <c r="G360" s="39">
        <v>923</v>
      </c>
      <c r="H360" s="39">
        <v>2493</v>
      </c>
      <c r="I360" s="39">
        <v>15902</v>
      </c>
      <c r="J360" s="39">
        <v>464</v>
      </c>
      <c r="K360" s="39">
        <v>16366</v>
      </c>
      <c r="L360" s="43">
        <v>823</v>
      </c>
    </row>
    <row r="361" spans="1:12" s="40" customFormat="1" ht="12.75" customHeight="1" x14ac:dyDescent="0.3">
      <c r="A361" s="16">
        <v>5642</v>
      </c>
      <c r="B361" s="17">
        <v>15</v>
      </c>
      <c r="C361" s="17">
        <v>7</v>
      </c>
      <c r="D361" s="17">
        <v>1</v>
      </c>
      <c r="E361" s="18" t="s">
        <v>371</v>
      </c>
      <c r="F361" s="39">
        <v>16786</v>
      </c>
      <c r="G361" s="39">
        <v>485</v>
      </c>
      <c r="H361" s="39">
        <v>1005</v>
      </c>
      <c r="I361" s="39">
        <v>18276</v>
      </c>
      <c r="J361" s="39">
        <v>943</v>
      </c>
      <c r="K361" s="39">
        <v>19219</v>
      </c>
      <c r="L361" s="43">
        <v>1109</v>
      </c>
    </row>
    <row r="362" spans="1:12" s="40" customFormat="1" ht="12.75" customHeight="1" x14ac:dyDescent="0.3">
      <c r="A362" s="16">
        <v>5656</v>
      </c>
      <c r="B362" s="17">
        <v>13</v>
      </c>
      <c r="C362" s="17">
        <v>2</v>
      </c>
      <c r="D362" s="17">
        <v>1</v>
      </c>
      <c r="E362" s="18" t="s">
        <v>372</v>
      </c>
      <c r="F362" s="39">
        <v>15015</v>
      </c>
      <c r="G362" s="39">
        <v>651</v>
      </c>
      <c r="H362" s="39">
        <v>2786</v>
      </c>
      <c r="I362" s="39">
        <v>18453</v>
      </c>
      <c r="J362" s="39">
        <v>728</v>
      </c>
      <c r="K362" s="39">
        <v>19181</v>
      </c>
      <c r="L362" s="43">
        <v>8538</v>
      </c>
    </row>
    <row r="363" spans="1:12" s="40" customFormat="1" ht="12.75" customHeight="1" x14ac:dyDescent="0.3">
      <c r="A363" s="16">
        <v>5663</v>
      </c>
      <c r="B363" s="17">
        <v>16</v>
      </c>
      <c r="C363" s="17">
        <v>12</v>
      </c>
      <c r="D363" s="17">
        <v>1</v>
      </c>
      <c r="E363" s="18" t="s">
        <v>373</v>
      </c>
      <c r="F363" s="39">
        <v>14163</v>
      </c>
      <c r="G363" s="39">
        <v>911</v>
      </c>
      <c r="H363" s="39">
        <v>2194</v>
      </c>
      <c r="I363" s="39">
        <v>17267</v>
      </c>
      <c r="J363" s="39">
        <v>862</v>
      </c>
      <c r="K363" s="39">
        <v>18129</v>
      </c>
      <c r="L363" s="43">
        <v>4205</v>
      </c>
    </row>
    <row r="364" spans="1:12" s="40" customFormat="1" ht="12.75" customHeight="1" x14ac:dyDescent="0.3">
      <c r="A364" s="16">
        <v>5670</v>
      </c>
      <c r="B364" s="17">
        <v>42</v>
      </c>
      <c r="C364" s="17">
        <v>8</v>
      </c>
      <c r="D364" s="17">
        <v>1</v>
      </c>
      <c r="E364" s="18" t="s">
        <v>374</v>
      </c>
      <c r="F364" s="39">
        <v>17884</v>
      </c>
      <c r="G364" s="39">
        <v>1389</v>
      </c>
      <c r="H364" s="39">
        <v>430</v>
      </c>
      <c r="I364" s="39">
        <v>19703</v>
      </c>
      <c r="J364" s="39">
        <v>1336</v>
      </c>
      <c r="K364" s="39">
        <v>21039</v>
      </c>
      <c r="L364" s="43">
        <v>370</v>
      </c>
    </row>
    <row r="365" spans="1:12" s="40" customFormat="1" ht="12.75" customHeight="1" x14ac:dyDescent="0.3">
      <c r="A365" s="16">
        <v>3510</v>
      </c>
      <c r="B365" s="17">
        <v>67</v>
      </c>
      <c r="C365" s="17">
        <v>1</v>
      </c>
      <c r="D365" s="17">
        <v>3</v>
      </c>
      <c r="E365" s="18" t="s">
        <v>375</v>
      </c>
      <c r="F365" s="39">
        <v>14447</v>
      </c>
      <c r="G365" s="39">
        <v>512</v>
      </c>
      <c r="H365" s="39">
        <v>1984</v>
      </c>
      <c r="I365" s="39">
        <v>16943</v>
      </c>
      <c r="J365" s="39">
        <v>455</v>
      </c>
      <c r="K365" s="39">
        <v>17398</v>
      </c>
      <c r="L365" s="43">
        <v>413</v>
      </c>
    </row>
    <row r="366" spans="1:12" s="40" customFormat="1" ht="12.75" customHeight="1" x14ac:dyDescent="0.3">
      <c r="A366" s="16">
        <v>5726</v>
      </c>
      <c r="B366" s="17">
        <v>10</v>
      </c>
      <c r="C366" s="17">
        <v>10</v>
      </c>
      <c r="D366" s="17">
        <v>1</v>
      </c>
      <c r="E366" s="18" t="s">
        <v>376</v>
      </c>
      <c r="F366" s="39">
        <v>14602</v>
      </c>
      <c r="G366" s="39">
        <v>1029</v>
      </c>
      <c r="H366" s="39">
        <v>924</v>
      </c>
      <c r="I366" s="39">
        <v>16555</v>
      </c>
      <c r="J366" s="39">
        <v>722</v>
      </c>
      <c r="K366" s="39">
        <v>17277</v>
      </c>
      <c r="L366" s="43">
        <v>571</v>
      </c>
    </row>
    <row r="367" spans="1:12" s="40" customFormat="1" ht="12.75" customHeight="1" x14ac:dyDescent="0.3">
      <c r="A367" s="16">
        <v>5733</v>
      </c>
      <c r="B367" s="17">
        <v>43</v>
      </c>
      <c r="C367" s="17">
        <v>9</v>
      </c>
      <c r="D367" s="17">
        <v>1</v>
      </c>
      <c r="E367" s="18" t="s">
        <v>377</v>
      </c>
      <c r="F367" s="39">
        <v>21916</v>
      </c>
      <c r="G367" s="39">
        <v>1593</v>
      </c>
      <c r="H367" s="39">
        <v>751</v>
      </c>
      <c r="I367" s="39">
        <v>24260</v>
      </c>
      <c r="J367" s="39">
        <v>1284</v>
      </c>
      <c r="K367" s="39">
        <v>25544</v>
      </c>
      <c r="L367" s="43">
        <v>492</v>
      </c>
    </row>
    <row r="368" spans="1:12" s="40" customFormat="1" ht="12.75" customHeight="1" x14ac:dyDescent="0.3">
      <c r="A368" s="16">
        <v>5740</v>
      </c>
      <c r="B368" s="17">
        <v>58</v>
      </c>
      <c r="C368" s="17">
        <v>8</v>
      </c>
      <c r="D368" s="17">
        <v>1</v>
      </c>
      <c r="E368" s="18" t="s">
        <v>378</v>
      </c>
      <c r="F368" s="39">
        <v>17192</v>
      </c>
      <c r="G368" s="39">
        <v>1296</v>
      </c>
      <c r="H368" s="39">
        <v>874</v>
      </c>
      <c r="I368" s="39">
        <v>19362</v>
      </c>
      <c r="J368" s="39">
        <v>2635</v>
      </c>
      <c r="K368" s="39">
        <v>21997</v>
      </c>
      <c r="L368" s="43">
        <v>267</v>
      </c>
    </row>
    <row r="369" spans="1:12" s="40" customFormat="1" ht="12.75" customHeight="1" x14ac:dyDescent="0.3">
      <c r="A369" s="16">
        <v>5747</v>
      </c>
      <c r="B369" s="17">
        <v>41</v>
      </c>
      <c r="C369" s="17">
        <v>4</v>
      </c>
      <c r="D369" s="17">
        <v>1</v>
      </c>
      <c r="E369" s="18" t="s">
        <v>379</v>
      </c>
      <c r="F369" s="39">
        <v>12451</v>
      </c>
      <c r="G369" s="39">
        <v>1112</v>
      </c>
      <c r="H369" s="39">
        <v>741</v>
      </c>
      <c r="I369" s="39">
        <v>14304</v>
      </c>
      <c r="J369" s="39">
        <v>624</v>
      </c>
      <c r="K369" s="39">
        <v>14928</v>
      </c>
      <c r="L369" s="43">
        <v>3260</v>
      </c>
    </row>
    <row r="370" spans="1:12" s="40" customFormat="1" ht="12.75" customHeight="1" x14ac:dyDescent="0.3">
      <c r="A370" s="16">
        <v>5754</v>
      </c>
      <c r="B370" s="17">
        <v>35</v>
      </c>
      <c r="C370" s="17">
        <v>9</v>
      </c>
      <c r="D370" s="17">
        <v>1</v>
      </c>
      <c r="E370" s="18" t="s">
        <v>380</v>
      </c>
      <c r="F370" s="39">
        <v>14953</v>
      </c>
      <c r="G370" s="39">
        <v>1035</v>
      </c>
      <c r="H370" s="39">
        <v>522</v>
      </c>
      <c r="I370" s="39">
        <v>16510</v>
      </c>
      <c r="J370" s="39">
        <v>985</v>
      </c>
      <c r="K370" s="39">
        <v>17494</v>
      </c>
      <c r="L370" s="43">
        <v>1135</v>
      </c>
    </row>
    <row r="371" spans="1:12" s="40" customFormat="1" ht="12.75" customHeight="1" x14ac:dyDescent="0.3">
      <c r="A371" s="16">
        <v>126</v>
      </c>
      <c r="B371" s="17">
        <v>49</v>
      </c>
      <c r="C371" s="17">
        <v>5</v>
      </c>
      <c r="D371" s="17">
        <v>1</v>
      </c>
      <c r="E371" s="18" t="s">
        <v>381</v>
      </c>
      <c r="F371" s="39">
        <v>14624</v>
      </c>
      <c r="G371" s="39">
        <v>677</v>
      </c>
      <c r="H371" s="39">
        <v>2523</v>
      </c>
      <c r="I371" s="39">
        <v>17824</v>
      </c>
      <c r="J371" s="39">
        <v>813</v>
      </c>
      <c r="K371" s="39">
        <v>18637</v>
      </c>
      <c r="L371" s="43">
        <v>881</v>
      </c>
    </row>
    <row r="372" spans="1:12" s="40" customFormat="1" ht="12.75" customHeight="1" x14ac:dyDescent="0.3">
      <c r="A372" s="16">
        <v>5780</v>
      </c>
      <c r="B372" s="17">
        <v>30</v>
      </c>
      <c r="C372" s="17">
        <v>2</v>
      </c>
      <c r="D372" s="17">
        <v>3</v>
      </c>
      <c r="E372" s="18" t="s">
        <v>382</v>
      </c>
      <c r="F372" s="39">
        <v>16907</v>
      </c>
      <c r="G372" s="39">
        <v>1018</v>
      </c>
      <c r="H372" s="39">
        <v>2105</v>
      </c>
      <c r="I372" s="39">
        <v>20031</v>
      </c>
      <c r="J372" s="39">
        <v>560</v>
      </c>
      <c r="K372" s="39">
        <v>20591</v>
      </c>
      <c r="L372" s="43">
        <v>428</v>
      </c>
    </row>
    <row r="373" spans="1:12" s="40" customFormat="1" ht="12.75" customHeight="1" x14ac:dyDescent="0.3">
      <c r="A373" s="16">
        <v>4375</v>
      </c>
      <c r="B373" s="17">
        <v>69</v>
      </c>
      <c r="C373" s="17">
        <v>5</v>
      </c>
      <c r="D373" s="17">
        <v>1</v>
      </c>
      <c r="E373" s="18" t="s">
        <v>383</v>
      </c>
      <c r="F373" s="39">
        <v>14586</v>
      </c>
      <c r="G373" s="39">
        <v>602</v>
      </c>
      <c r="H373" s="39">
        <v>0</v>
      </c>
      <c r="I373" s="39">
        <v>15188</v>
      </c>
      <c r="J373" s="39">
        <v>965</v>
      </c>
      <c r="K373" s="39">
        <v>16153</v>
      </c>
      <c r="L373" s="43">
        <v>623</v>
      </c>
    </row>
    <row r="374" spans="1:12" s="40" customFormat="1" ht="12.75" customHeight="1" x14ac:dyDescent="0.3">
      <c r="A374" s="16">
        <v>5810</v>
      </c>
      <c r="B374" s="17">
        <v>3</v>
      </c>
      <c r="C374" s="17">
        <v>11</v>
      </c>
      <c r="D374" s="17">
        <v>1</v>
      </c>
      <c r="E374" s="18" t="s">
        <v>384</v>
      </c>
      <c r="F374" s="39">
        <v>14835</v>
      </c>
      <c r="G374" s="39">
        <v>808</v>
      </c>
      <c r="H374" s="39">
        <v>113</v>
      </c>
      <c r="I374" s="39">
        <v>15757</v>
      </c>
      <c r="J374" s="39">
        <v>1123</v>
      </c>
      <c r="K374" s="39">
        <v>16880</v>
      </c>
      <c r="L374" s="43">
        <v>449</v>
      </c>
    </row>
    <row r="375" spans="1:12" s="40" customFormat="1" ht="12.75" customHeight="1" x14ac:dyDescent="0.3">
      <c r="A375" s="16">
        <v>5817</v>
      </c>
      <c r="B375" s="17">
        <v>30</v>
      </c>
      <c r="C375" s="17">
        <v>2</v>
      </c>
      <c r="D375" s="17">
        <v>3</v>
      </c>
      <c r="E375" s="18" t="s">
        <v>385</v>
      </c>
      <c r="F375" s="39">
        <v>15798</v>
      </c>
      <c r="G375" s="39">
        <v>463</v>
      </c>
      <c r="H375" s="39">
        <v>2225</v>
      </c>
      <c r="I375" s="39">
        <v>18485</v>
      </c>
      <c r="J375" s="39">
        <v>672</v>
      </c>
      <c r="K375" s="39">
        <v>19157</v>
      </c>
      <c r="L375" s="43">
        <v>369</v>
      </c>
    </row>
    <row r="376" spans="1:12" s="40" customFormat="1" ht="12.75" customHeight="1" x14ac:dyDescent="0.3">
      <c r="A376" s="16">
        <v>5824</v>
      </c>
      <c r="B376" s="17">
        <v>36</v>
      </c>
      <c r="C376" s="17">
        <v>7</v>
      </c>
      <c r="D376" s="17">
        <v>1</v>
      </c>
      <c r="E376" s="18" t="s">
        <v>386</v>
      </c>
      <c r="F376" s="39">
        <v>12594</v>
      </c>
      <c r="G376" s="39">
        <v>486</v>
      </c>
      <c r="H376" s="39">
        <v>1497</v>
      </c>
      <c r="I376" s="39">
        <v>14577</v>
      </c>
      <c r="J376" s="39">
        <v>738</v>
      </c>
      <c r="K376" s="39">
        <v>15315</v>
      </c>
      <c r="L376" s="43">
        <v>1731</v>
      </c>
    </row>
    <row r="377" spans="1:12" s="40" customFormat="1" ht="12.75" customHeight="1" x14ac:dyDescent="0.3">
      <c r="A377" s="16">
        <v>5859</v>
      </c>
      <c r="B377" s="17">
        <v>51</v>
      </c>
      <c r="C377" s="17">
        <v>2</v>
      </c>
      <c r="D377" s="17">
        <v>3</v>
      </c>
      <c r="E377" s="18" t="s">
        <v>387</v>
      </c>
      <c r="F377" s="39">
        <v>13449</v>
      </c>
      <c r="G377" s="39">
        <v>535</v>
      </c>
      <c r="H377" s="39">
        <v>2778</v>
      </c>
      <c r="I377" s="39">
        <v>16762</v>
      </c>
      <c r="J377" s="39">
        <v>721</v>
      </c>
      <c r="K377" s="39">
        <v>17483</v>
      </c>
      <c r="L377" s="43">
        <v>610</v>
      </c>
    </row>
    <row r="378" spans="1:12" s="40" customFormat="1" ht="12.75" customHeight="1" x14ac:dyDescent="0.3">
      <c r="A378" s="16">
        <v>5852</v>
      </c>
      <c r="B378" s="17">
        <v>51</v>
      </c>
      <c r="C378" s="17">
        <v>2</v>
      </c>
      <c r="D378" s="17">
        <v>2</v>
      </c>
      <c r="E378" s="18" t="s">
        <v>388</v>
      </c>
      <c r="F378" s="39">
        <v>15922</v>
      </c>
      <c r="G378" s="39">
        <v>742</v>
      </c>
      <c r="H378" s="39">
        <v>2389</v>
      </c>
      <c r="I378" s="39">
        <v>19054</v>
      </c>
      <c r="J378" s="39">
        <v>936</v>
      </c>
      <c r="K378" s="39">
        <v>19990</v>
      </c>
      <c r="L378" s="43">
        <v>698</v>
      </c>
    </row>
    <row r="379" spans="1:12" s="40" customFormat="1" ht="12.75" customHeight="1" x14ac:dyDescent="0.3">
      <c r="A379" s="16">
        <v>238</v>
      </c>
      <c r="B379" s="17">
        <v>48</v>
      </c>
      <c r="C379" s="17">
        <v>11</v>
      </c>
      <c r="D379" s="17">
        <v>1</v>
      </c>
      <c r="E379" s="18" t="s">
        <v>389</v>
      </c>
      <c r="F379" s="39">
        <v>13341</v>
      </c>
      <c r="G379" s="39">
        <v>1148</v>
      </c>
      <c r="H379" s="39">
        <v>1245</v>
      </c>
      <c r="I379" s="39">
        <v>15735</v>
      </c>
      <c r="J379" s="39">
        <v>2058</v>
      </c>
      <c r="K379" s="39">
        <v>17793</v>
      </c>
      <c r="L379" s="43">
        <v>1030</v>
      </c>
    </row>
    <row r="380" spans="1:12" s="40" customFormat="1" ht="12.75" customHeight="1" x14ac:dyDescent="0.3">
      <c r="A380" s="16">
        <v>5866</v>
      </c>
      <c r="B380" s="17">
        <v>36</v>
      </c>
      <c r="C380" s="17">
        <v>7</v>
      </c>
      <c r="D380" s="17">
        <v>1</v>
      </c>
      <c r="E380" s="18" t="s">
        <v>390</v>
      </c>
      <c r="F380" s="39">
        <v>13748</v>
      </c>
      <c r="G380" s="39">
        <v>904</v>
      </c>
      <c r="H380" s="39">
        <v>3944</v>
      </c>
      <c r="I380" s="39">
        <v>18596</v>
      </c>
      <c r="J380" s="39">
        <v>785</v>
      </c>
      <c r="K380" s="39">
        <v>19381</v>
      </c>
      <c r="L380" s="43">
        <v>951</v>
      </c>
    </row>
    <row r="381" spans="1:12" s="40" customFormat="1" ht="12.75" customHeight="1" x14ac:dyDescent="0.3">
      <c r="A381" s="16">
        <v>5901</v>
      </c>
      <c r="B381" s="17">
        <v>13</v>
      </c>
      <c r="C381" s="17">
        <v>2</v>
      </c>
      <c r="D381" s="17">
        <v>1</v>
      </c>
      <c r="E381" s="18" t="s">
        <v>391</v>
      </c>
      <c r="F381" s="39">
        <v>16678</v>
      </c>
      <c r="G381" s="39">
        <v>754</v>
      </c>
      <c r="H381" s="39">
        <v>2349</v>
      </c>
      <c r="I381" s="39">
        <v>19782</v>
      </c>
      <c r="J381" s="39">
        <v>864</v>
      </c>
      <c r="K381" s="39">
        <v>20645</v>
      </c>
      <c r="L381" s="43">
        <v>5793</v>
      </c>
    </row>
    <row r="382" spans="1:12" s="40" customFormat="1" ht="12.75" customHeight="1" x14ac:dyDescent="0.3">
      <c r="A382" s="16">
        <v>5985</v>
      </c>
      <c r="B382" s="17">
        <v>62</v>
      </c>
      <c r="C382" s="17">
        <v>4</v>
      </c>
      <c r="D382" s="17">
        <v>1</v>
      </c>
      <c r="E382" s="18" t="s">
        <v>392</v>
      </c>
      <c r="F382" s="39">
        <v>14949</v>
      </c>
      <c r="G382" s="39">
        <v>1114</v>
      </c>
      <c r="H382" s="39">
        <v>557</v>
      </c>
      <c r="I382" s="39">
        <v>16621</v>
      </c>
      <c r="J382" s="39">
        <v>1519</v>
      </c>
      <c r="K382" s="39">
        <v>18139</v>
      </c>
      <c r="L382" s="43">
        <v>1128</v>
      </c>
    </row>
    <row r="383" spans="1:12" s="40" customFormat="1" ht="12.75" customHeight="1" x14ac:dyDescent="0.3">
      <c r="A383" s="16">
        <v>5992</v>
      </c>
      <c r="B383" s="17">
        <v>21</v>
      </c>
      <c r="C383" s="17">
        <v>8</v>
      </c>
      <c r="D383" s="17">
        <v>1</v>
      </c>
      <c r="E383" s="18" t="s">
        <v>393</v>
      </c>
      <c r="F383" s="39">
        <v>19440</v>
      </c>
      <c r="G383" s="39">
        <v>1112</v>
      </c>
      <c r="H383" s="39">
        <v>399</v>
      </c>
      <c r="I383" s="39">
        <v>20951</v>
      </c>
      <c r="J383" s="39">
        <v>1643</v>
      </c>
      <c r="K383" s="39">
        <v>22594</v>
      </c>
      <c r="L383" s="43">
        <v>405</v>
      </c>
    </row>
    <row r="384" spans="1:12" s="40" customFormat="1" ht="12.75" customHeight="1" x14ac:dyDescent="0.3">
      <c r="A384" s="16">
        <v>6022</v>
      </c>
      <c r="B384" s="17">
        <v>64</v>
      </c>
      <c r="C384" s="17">
        <v>2</v>
      </c>
      <c r="D384" s="17">
        <v>3</v>
      </c>
      <c r="E384" s="18" t="s">
        <v>394</v>
      </c>
      <c r="F384" s="39">
        <v>13491</v>
      </c>
      <c r="G384" s="39">
        <v>445</v>
      </c>
      <c r="H384" s="39">
        <v>1460</v>
      </c>
      <c r="I384" s="39">
        <v>15397</v>
      </c>
      <c r="J384" s="39">
        <v>936</v>
      </c>
      <c r="K384" s="39">
        <v>16333</v>
      </c>
      <c r="L384" s="43">
        <v>396</v>
      </c>
    </row>
    <row r="385" spans="1:12" s="40" customFormat="1" ht="12.75" customHeight="1" x14ac:dyDescent="0.3">
      <c r="A385" s="16">
        <v>6027</v>
      </c>
      <c r="B385" s="17">
        <v>4</v>
      </c>
      <c r="C385" s="17">
        <v>12</v>
      </c>
      <c r="D385" s="17">
        <v>1</v>
      </c>
      <c r="E385" s="18" t="s">
        <v>395</v>
      </c>
      <c r="F385" s="39">
        <v>16735</v>
      </c>
      <c r="G385" s="39">
        <v>1138</v>
      </c>
      <c r="H385" s="39">
        <v>591</v>
      </c>
      <c r="I385" s="39">
        <v>18463</v>
      </c>
      <c r="J385" s="39">
        <v>1929</v>
      </c>
      <c r="K385" s="39">
        <v>20392</v>
      </c>
      <c r="L385" s="43">
        <v>477</v>
      </c>
    </row>
    <row r="386" spans="1:12" s="40" customFormat="1" ht="12.75" customHeight="1" x14ac:dyDescent="0.3">
      <c r="A386" s="16">
        <v>6069</v>
      </c>
      <c r="B386" s="17">
        <v>15</v>
      </c>
      <c r="C386" s="17">
        <v>7</v>
      </c>
      <c r="D386" s="17">
        <v>1</v>
      </c>
      <c r="E386" s="18" t="s">
        <v>396</v>
      </c>
      <c r="F386" s="39">
        <v>33890</v>
      </c>
      <c r="G386" s="39">
        <v>1743</v>
      </c>
      <c r="H386" s="39">
        <v>230</v>
      </c>
      <c r="I386" s="39">
        <v>35863</v>
      </c>
      <c r="J386" s="39">
        <v>0</v>
      </c>
      <c r="K386" s="39">
        <v>35863</v>
      </c>
      <c r="L386" s="43">
        <v>55</v>
      </c>
    </row>
    <row r="387" spans="1:12" s="40" customFormat="1" ht="12.75" customHeight="1" x14ac:dyDescent="0.3">
      <c r="A387" s="16">
        <v>6104</v>
      </c>
      <c r="B387" s="17">
        <v>51</v>
      </c>
      <c r="C387" s="17">
        <v>2</v>
      </c>
      <c r="D387" s="17">
        <v>3</v>
      </c>
      <c r="E387" s="18" t="s">
        <v>397</v>
      </c>
      <c r="F387" s="39">
        <v>14732</v>
      </c>
      <c r="G387" s="39">
        <v>698</v>
      </c>
      <c r="H387" s="39">
        <v>1033</v>
      </c>
      <c r="I387" s="39">
        <v>16463</v>
      </c>
      <c r="J387" s="39">
        <v>509</v>
      </c>
      <c r="K387" s="39">
        <v>16972</v>
      </c>
      <c r="L387" s="43">
        <v>182</v>
      </c>
    </row>
    <row r="388" spans="1:12" s="40" customFormat="1" ht="12.75" customHeight="1" x14ac:dyDescent="0.3">
      <c r="A388" s="16">
        <v>6113</v>
      </c>
      <c r="B388" s="17">
        <v>51</v>
      </c>
      <c r="C388" s="17">
        <v>2</v>
      </c>
      <c r="D388" s="17">
        <v>3</v>
      </c>
      <c r="E388" s="18" t="s">
        <v>398</v>
      </c>
      <c r="F388" s="39">
        <v>14796</v>
      </c>
      <c r="G388" s="39">
        <v>833</v>
      </c>
      <c r="H388" s="39">
        <v>3314</v>
      </c>
      <c r="I388" s="39">
        <v>18943</v>
      </c>
      <c r="J388" s="39">
        <v>771</v>
      </c>
      <c r="K388" s="39">
        <v>19713</v>
      </c>
      <c r="L388" s="43">
        <v>1399</v>
      </c>
    </row>
    <row r="389" spans="1:12" s="40" customFormat="1" ht="12.75" customHeight="1" x14ac:dyDescent="0.3">
      <c r="A389" s="16">
        <v>6083</v>
      </c>
      <c r="B389" s="17">
        <v>51</v>
      </c>
      <c r="C389" s="17">
        <v>2</v>
      </c>
      <c r="D389" s="17">
        <v>2</v>
      </c>
      <c r="E389" s="18" t="s">
        <v>399</v>
      </c>
      <c r="F389" s="39">
        <v>18321</v>
      </c>
      <c r="G389" s="39">
        <v>618</v>
      </c>
      <c r="H389" s="39">
        <v>952</v>
      </c>
      <c r="I389" s="39">
        <v>19890</v>
      </c>
      <c r="J389" s="39">
        <v>1070</v>
      </c>
      <c r="K389" s="39">
        <v>20960</v>
      </c>
      <c r="L389" s="43">
        <v>901</v>
      </c>
    </row>
    <row r="390" spans="1:12" s="40" customFormat="1" ht="12.75" customHeight="1" x14ac:dyDescent="0.3">
      <c r="A390" s="16">
        <v>6118</v>
      </c>
      <c r="B390" s="17">
        <v>28</v>
      </c>
      <c r="C390" s="17">
        <v>2</v>
      </c>
      <c r="D390" s="17">
        <v>1</v>
      </c>
      <c r="E390" s="18" t="s">
        <v>400</v>
      </c>
      <c r="F390" s="39">
        <v>14914</v>
      </c>
      <c r="G390" s="39">
        <v>541</v>
      </c>
      <c r="H390" s="39">
        <v>1788</v>
      </c>
      <c r="I390" s="39">
        <v>17244</v>
      </c>
      <c r="J390" s="39">
        <v>874</v>
      </c>
      <c r="K390" s="39">
        <v>18117</v>
      </c>
      <c r="L390" s="43">
        <v>770</v>
      </c>
    </row>
    <row r="391" spans="1:12" s="40" customFormat="1" ht="12.75" customHeight="1" x14ac:dyDescent="0.3">
      <c r="A391" s="16">
        <v>6125</v>
      </c>
      <c r="B391" s="17">
        <v>28</v>
      </c>
      <c r="C391" s="17">
        <v>2</v>
      </c>
      <c r="D391" s="17">
        <v>1</v>
      </c>
      <c r="E391" s="18" t="s">
        <v>401</v>
      </c>
      <c r="F391" s="39">
        <v>14839</v>
      </c>
      <c r="G391" s="39">
        <v>546</v>
      </c>
      <c r="H391" s="39">
        <v>1753</v>
      </c>
      <c r="I391" s="39">
        <v>17139</v>
      </c>
      <c r="J391" s="39">
        <v>653</v>
      </c>
      <c r="K391" s="39">
        <v>17791</v>
      </c>
      <c r="L391" s="43">
        <v>3780</v>
      </c>
    </row>
    <row r="392" spans="1:12" s="40" customFormat="1" ht="12.75" customHeight="1" x14ac:dyDescent="0.3">
      <c r="A392" s="16">
        <v>6174</v>
      </c>
      <c r="B392" s="17">
        <v>67</v>
      </c>
      <c r="C392" s="17">
        <v>1</v>
      </c>
      <c r="D392" s="17">
        <v>1</v>
      </c>
      <c r="E392" s="18" t="s">
        <v>402</v>
      </c>
      <c r="F392" s="39">
        <v>14303</v>
      </c>
      <c r="G392" s="39">
        <v>498</v>
      </c>
      <c r="H392" s="39">
        <v>1004</v>
      </c>
      <c r="I392" s="39">
        <v>15805</v>
      </c>
      <c r="J392" s="39">
        <v>500</v>
      </c>
      <c r="K392" s="39">
        <v>16306</v>
      </c>
      <c r="L392" s="43">
        <v>11971</v>
      </c>
    </row>
    <row r="393" spans="1:12" s="40" customFormat="1" ht="12.75" customHeight="1" x14ac:dyDescent="0.3">
      <c r="A393" s="16">
        <v>6181</v>
      </c>
      <c r="B393" s="17">
        <v>13</v>
      </c>
      <c r="C393" s="17">
        <v>2</v>
      </c>
      <c r="D393" s="17">
        <v>1</v>
      </c>
      <c r="E393" s="18" t="s">
        <v>403</v>
      </c>
      <c r="F393" s="39">
        <v>15144</v>
      </c>
      <c r="G393" s="39">
        <v>467</v>
      </c>
      <c r="H393" s="39">
        <v>3408</v>
      </c>
      <c r="I393" s="39">
        <v>19019</v>
      </c>
      <c r="J393" s="39">
        <v>867</v>
      </c>
      <c r="K393" s="39">
        <v>19886</v>
      </c>
      <c r="L393" s="43">
        <v>4322</v>
      </c>
    </row>
    <row r="394" spans="1:12" s="40" customFormat="1" ht="12.75" customHeight="1" x14ac:dyDescent="0.3">
      <c r="A394" s="16">
        <v>6195</v>
      </c>
      <c r="B394" s="17">
        <v>68</v>
      </c>
      <c r="C394" s="17">
        <v>5</v>
      </c>
      <c r="D394" s="17">
        <v>1</v>
      </c>
      <c r="E394" s="18" t="s">
        <v>404</v>
      </c>
      <c r="F394" s="39">
        <v>13898</v>
      </c>
      <c r="G394" s="39">
        <v>774</v>
      </c>
      <c r="H394" s="39">
        <v>373</v>
      </c>
      <c r="I394" s="39">
        <v>15045</v>
      </c>
      <c r="J394" s="39">
        <v>547</v>
      </c>
      <c r="K394" s="39">
        <v>15591</v>
      </c>
      <c r="L394" s="43">
        <v>2161</v>
      </c>
    </row>
    <row r="395" spans="1:12" s="40" customFormat="1" ht="12.75" customHeight="1" x14ac:dyDescent="0.3">
      <c r="A395" s="16">
        <v>6216</v>
      </c>
      <c r="B395" s="17">
        <v>20</v>
      </c>
      <c r="C395" s="17">
        <v>6</v>
      </c>
      <c r="D395" s="17">
        <v>1</v>
      </c>
      <c r="E395" s="18" t="s">
        <v>405</v>
      </c>
      <c r="F395" s="39">
        <v>13048</v>
      </c>
      <c r="G395" s="39">
        <v>686</v>
      </c>
      <c r="H395" s="39">
        <v>1853</v>
      </c>
      <c r="I395" s="39">
        <v>15588</v>
      </c>
      <c r="J395" s="39">
        <v>625</v>
      </c>
      <c r="K395" s="39">
        <v>16213</v>
      </c>
      <c r="L395" s="43">
        <v>2130</v>
      </c>
    </row>
    <row r="396" spans="1:12" s="40" customFormat="1" ht="12.75" customHeight="1" x14ac:dyDescent="0.3">
      <c r="A396" s="16">
        <v>6223</v>
      </c>
      <c r="B396" s="17">
        <v>37</v>
      </c>
      <c r="C396" s="17">
        <v>9</v>
      </c>
      <c r="D396" s="17">
        <v>1</v>
      </c>
      <c r="E396" s="18" t="s">
        <v>406</v>
      </c>
      <c r="F396" s="39">
        <v>14381</v>
      </c>
      <c r="G396" s="39">
        <v>508</v>
      </c>
      <c r="H396" s="39">
        <v>3812</v>
      </c>
      <c r="I396" s="39">
        <v>18701</v>
      </c>
      <c r="J396" s="39">
        <v>692</v>
      </c>
      <c r="K396" s="39">
        <v>19393</v>
      </c>
      <c r="L396" s="43">
        <v>8408</v>
      </c>
    </row>
    <row r="397" spans="1:12" s="40" customFormat="1" ht="12.75" customHeight="1" x14ac:dyDescent="0.3">
      <c r="A397" s="16">
        <v>6230</v>
      </c>
      <c r="B397" s="17">
        <v>38</v>
      </c>
      <c r="C397" s="17">
        <v>8</v>
      </c>
      <c r="D397" s="17">
        <v>1</v>
      </c>
      <c r="E397" s="18" t="s">
        <v>407</v>
      </c>
      <c r="F397" s="39">
        <v>15962</v>
      </c>
      <c r="G397" s="39">
        <v>911</v>
      </c>
      <c r="H397" s="39">
        <v>539</v>
      </c>
      <c r="I397" s="39">
        <v>17412</v>
      </c>
      <c r="J397" s="39">
        <v>1398</v>
      </c>
      <c r="K397" s="39">
        <v>18810</v>
      </c>
      <c r="L397" s="43">
        <v>418</v>
      </c>
    </row>
    <row r="398" spans="1:12" s="40" customFormat="1" ht="12.75" customHeight="1" x14ac:dyDescent="0.3">
      <c r="A398" s="16">
        <v>6237</v>
      </c>
      <c r="B398" s="17">
        <v>69</v>
      </c>
      <c r="C398" s="17">
        <v>5</v>
      </c>
      <c r="D398" s="17">
        <v>1</v>
      </c>
      <c r="E398" s="18" t="s">
        <v>408</v>
      </c>
      <c r="F398" s="39">
        <v>13731</v>
      </c>
      <c r="G398" s="39">
        <v>679</v>
      </c>
      <c r="H398" s="39">
        <v>243</v>
      </c>
      <c r="I398" s="39">
        <v>14653</v>
      </c>
      <c r="J398" s="39">
        <v>880</v>
      </c>
      <c r="K398" s="39">
        <v>15533</v>
      </c>
      <c r="L398" s="43">
        <v>1363</v>
      </c>
    </row>
    <row r="399" spans="1:12" s="40" customFormat="1" ht="12.75" customHeight="1" x14ac:dyDescent="0.3">
      <c r="A399" s="16">
        <v>6244</v>
      </c>
      <c r="B399" s="17">
        <v>40</v>
      </c>
      <c r="C399" s="17">
        <v>1</v>
      </c>
      <c r="D399" s="17">
        <v>1</v>
      </c>
      <c r="E399" s="18" t="s">
        <v>409</v>
      </c>
      <c r="F399" s="39">
        <v>16495</v>
      </c>
      <c r="G399" s="39">
        <v>271</v>
      </c>
      <c r="H399" s="39">
        <v>346</v>
      </c>
      <c r="I399" s="39">
        <v>17113</v>
      </c>
      <c r="J399" s="39">
        <v>814</v>
      </c>
      <c r="K399" s="39">
        <v>17927</v>
      </c>
      <c r="L399" s="43">
        <v>6174</v>
      </c>
    </row>
    <row r="400" spans="1:12" s="40" customFormat="1" ht="12.75" customHeight="1" x14ac:dyDescent="0.3">
      <c r="A400" s="16">
        <v>6251</v>
      </c>
      <c r="B400" s="17">
        <v>12</v>
      </c>
      <c r="C400" s="17">
        <v>3</v>
      </c>
      <c r="D400" s="17">
        <v>1</v>
      </c>
      <c r="E400" s="18" t="s">
        <v>410</v>
      </c>
      <c r="F400" s="39">
        <v>18658</v>
      </c>
      <c r="G400" s="39">
        <v>971</v>
      </c>
      <c r="H400" s="39">
        <v>899</v>
      </c>
      <c r="I400" s="39">
        <v>20528</v>
      </c>
      <c r="J400" s="39">
        <v>1049</v>
      </c>
      <c r="K400" s="39">
        <v>21577</v>
      </c>
      <c r="L400" s="43">
        <v>241</v>
      </c>
    </row>
    <row r="401" spans="1:12" s="40" customFormat="1" ht="12.75" customHeight="1" x14ac:dyDescent="0.3">
      <c r="A401" s="16">
        <v>6293</v>
      </c>
      <c r="B401" s="17">
        <v>7</v>
      </c>
      <c r="C401" s="17">
        <v>11</v>
      </c>
      <c r="D401" s="17">
        <v>1</v>
      </c>
      <c r="E401" s="18" t="s">
        <v>411</v>
      </c>
      <c r="F401" s="39">
        <v>16507</v>
      </c>
      <c r="G401" s="39">
        <v>1205</v>
      </c>
      <c r="H401" s="39">
        <v>1296</v>
      </c>
      <c r="I401" s="39">
        <v>19008</v>
      </c>
      <c r="J401" s="39">
        <v>1186</v>
      </c>
      <c r="K401" s="39">
        <v>20195</v>
      </c>
      <c r="L401" s="43">
        <v>600</v>
      </c>
    </row>
    <row r="402" spans="1:12" s="40" customFormat="1" ht="12.75" customHeight="1" x14ac:dyDescent="0.3">
      <c r="A402" s="16">
        <v>6300</v>
      </c>
      <c r="B402" s="17">
        <v>40</v>
      </c>
      <c r="C402" s="17">
        <v>1</v>
      </c>
      <c r="D402" s="17">
        <v>1</v>
      </c>
      <c r="E402" s="18" t="s">
        <v>412</v>
      </c>
      <c r="F402" s="39">
        <v>13825</v>
      </c>
      <c r="G402" s="39">
        <v>379</v>
      </c>
      <c r="H402" s="39">
        <v>153</v>
      </c>
      <c r="I402" s="39">
        <v>14357</v>
      </c>
      <c r="J402" s="39">
        <v>1459</v>
      </c>
      <c r="K402" s="39">
        <v>15816</v>
      </c>
      <c r="L402" s="43">
        <v>8328</v>
      </c>
    </row>
    <row r="403" spans="1:12" s="40" customFormat="1" ht="12.75" customHeight="1" x14ac:dyDescent="0.3">
      <c r="A403" s="16">
        <v>6307</v>
      </c>
      <c r="B403" s="17">
        <v>66</v>
      </c>
      <c r="C403" s="17">
        <v>6</v>
      </c>
      <c r="D403" s="17">
        <v>1</v>
      </c>
      <c r="E403" s="18" t="s">
        <v>413</v>
      </c>
      <c r="F403" s="39">
        <v>13723</v>
      </c>
      <c r="G403" s="39">
        <v>479</v>
      </c>
      <c r="H403" s="39">
        <v>860</v>
      </c>
      <c r="I403" s="39">
        <v>15063</v>
      </c>
      <c r="J403" s="39">
        <v>601</v>
      </c>
      <c r="K403" s="39">
        <v>15664</v>
      </c>
      <c r="L403" s="43">
        <v>6331</v>
      </c>
    </row>
    <row r="404" spans="1:12" s="40" customFormat="1" ht="12.75" customHeight="1" x14ac:dyDescent="0.3">
      <c r="A404" s="16">
        <v>6328</v>
      </c>
      <c r="B404" s="17">
        <v>5</v>
      </c>
      <c r="C404" s="17">
        <v>7</v>
      </c>
      <c r="D404" s="17">
        <v>1</v>
      </c>
      <c r="E404" s="18" t="s">
        <v>414</v>
      </c>
      <c r="F404" s="39">
        <v>12188</v>
      </c>
      <c r="G404" s="39">
        <v>627</v>
      </c>
      <c r="H404" s="39">
        <v>2329</v>
      </c>
      <c r="I404" s="39">
        <v>15144</v>
      </c>
      <c r="J404" s="39">
        <v>679</v>
      </c>
      <c r="K404" s="39">
        <v>15823</v>
      </c>
      <c r="L404" s="43">
        <v>3983</v>
      </c>
    </row>
    <row r="405" spans="1:12" s="40" customFormat="1" ht="12.75" customHeight="1" x14ac:dyDescent="0.3">
      <c r="A405" s="16">
        <v>6370</v>
      </c>
      <c r="B405" s="17">
        <v>32</v>
      </c>
      <c r="C405" s="17">
        <v>4</v>
      </c>
      <c r="D405" s="17">
        <v>1</v>
      </c>
      <c r="E405" s="18" t="s">
        <v>415</v>
      </c>
      <c r="F405" s="39">
        <v>14331</v>
      </c>
      <c r="G405" s="39">
        <v>838</v>
      </c>
      <c r="H405" s="39">
        <v>1321</v>
      </c>
      <c r="I405" s="39">
        <v>16491</v>
      </c>
      <c r="J405" s="39">
        <v>971</v>
      </c>
      <c r="K405" s="39">
        <v>17462</v>
      </c>
      <c r="L405" s="43">
        <v>1796</v>
      </c>
    </row>
    <row r="406" spans="1:12" s="40" customFormat="1" ht="12.75" customHeight="1" x14ac:dyDescent="0.3">
      <c r="A406" s="16">
        <v>6321</v>
      </c>
      <c r="B406" s="17">
        <v>62</v>
      </c>
      <c r="C406" s="17">
        <v>4</v>
      </c>
      <c r="D406" s="17">
        <v>1</v>
      </c>
      <c r="E406" s="18" t="s">
        <v>416</v>
      </c>
      <c r="F406" s="39">
        <v>14332</v>
      </c>
      <c r="G406" s="39">
        <v>974</v>
      </c>
      <c r="H406" s="39">
        <v>3461</v>
      </c>
      <c r="I406" s="39">
        <v>18766</v>
      </c>
      <c r="J406" s="39">
        <v>712</v>
      </c>
      <c r="K406" s="39">
        <v>19478</v>
      </c>
      <c r="L406" s="43">
        <v>1124</v>
      </c>
    </row>
    <row r="407" spans="1:12" s="40" customFormat="1" ht="12.75" customHeight="1" x14ac:dyDescent="0.3">
      <c r="A407" s="16">
        <v>6335</v>
      </c>
      <c r="B407" s="17">
        <v>39</v>
      </c>
      <c r="C407" s="17">
        <v>5</v>
      </c>
      <c r="D407" s="17">
        <v>1</v>
      </c>
      <c r="E407" s="18" t="s">
        <v>417</v>
      </c>
      <c r="F407" s="39">
        <v>14337</v>
      </c>
      <c r="G407" s="39">
        <v>722</v>
      </c>
      <c r="H407" s="39">
        <v>380</v>
      </c>
      <c r="I407" s="39">
        <v>15440</v>
      </c>
      <c r="J407" s="39">
        <v>660</v>
      </c>
      <c r="K407" s="39">
        <v>16100</v>
      </c>
      <c r="L407" s="43">
        <v>1158</v>
      </c>
    </row>
    <row r="408" spans="1:12" s="40" customFormat="1" ht="12.75" customHeight="1" x14ac:dyDescent="0.3">
      <c r="A408" s="16">
        <v>6354</v>
      </c>
      <c r="B408" s="17">
        <v>56</v>
      </c>
      <c r="C408" s="17">
        <v>3</v>
      </c>
      <c r="D408" s="17">
        <v>1</v>
      </c>
      <c r="E408" s="18" t="s">
        <v>418</v>
      </c>
      <c r="F408" s="39">
        <v>19992</v>
      </c>
      <c r="G408" s="39">
        <v>917</v>
      </c>
      <c r="H408" s="39">
        <v>601</v>
      </c>
      <c r="I408" s="39">
        <v>21510</v>
      </c>
      <c r="J408" s="39">
        <v>1037</v>
      </c>
      <c r="K408" s="39">
        <v>22547</v>
      </c>
      <c r="L408" s="43">
        <v>262</v>
      </c>
    </row>
    <row r="409" spans="1:12" s="40" customFormat="1" ht="12.75" customHeight="1" x14ac:dyDescent="0.3">
      <c r="A409" s="16">
        <v>6384</v>
      </c>
      <c r="B409" s="17">
        <v>68</v>
      </c>
      <c r="C409" s="17">
        <v>6</v>
      </c>
      <c r="D409" s="17">
        <v>1</v>
      </c>
      <c r="E409" s="18" t="s">
        <v>419</v>
      </c>
      <c r="F409" s="39">
        <v>14247</v>
      </c>
      <c r="G409" s="39">
        <v>594</v>
      </c>
      <c r="H409" s="39">
        <v>4445</v>
      </c>
      <c r="I409" s="39">
        <v>19286</v>
      </c>
      <c r="J409" s="39">
        <v>2524</v>
      </c>
      <c r="K409" s="39">
        <v>21810</v>
      </c>
      <c r="L409" s="43">
        <v>815</v>
      </c>
    </row>
    <row r="410" spans="1:12" s="40" customFormat="1" ht="12.75" customHeight="1" x14ac:dyDescent="0.3">
      <c r="A410" s="16">
        <v>6412</v>
      </c>
      <c r="B410" s="17">
        <v>30</v>
      </c>
      <c r="C410" s="17">
        <v>2</v>
      </c>
      <c r="D410" s="17">
        <v>3</v>
      </c>
      <c r="E410" s="18" t="s">
        <v>420</v>
      </c>
      <c r="F410" s="39">
        <v>12816</v>
      </c>
      <c r="G410" s="39">
        <v>1043</v>
      </c>
      <c r="H410" s="39">
        <v>1245</v>
      </c>
      <c r="I410" s="39">
        <v>15105</v>
      </c>
      <c r="J410" s="39">
        <v>856</v>
      </c>
      <c r="K410" s="39">
        <v>15961</v>
      </c>
      <c r="L410" s="43">
        <v>481</v>
      </c>
    </row>
    <row r="411" spans="1:12" s="40" customFormat="1" ht="12.75" customHeight="1" x14ac:dyDescent="0.3">
      <c r="A411" s="16">
        <v>6440</v>
      </c>
      <c r="B411" s="17">
        <v>34</v>
      </c>
      <c r="C411" s="17">
        <v>8</v>
      </c>
      <c r="D411" s="17">
        <v>1</v>
      </c>
      <c r="E411" s="18" t="s">
        <v>421</v>
      </c>
      <c r="F411" s="39">
        <v>16252</v>
      </c>
      <c r="G411" s="39">
        <v>881</v>
      </c>
      <c r="H411" s="39">
        <v>2281</v>
      </c>
      <c r="I411" s="39">
        <v>19414</v>
      </c>
      <c r="J411" s="39">
        <v>772</v>
      </c>
      <c r="K411" s="39">
        <v>20186</v>
      </c>
      <c r="L411" s="43">
        <v>183</v>
      </c>
    </row>
    <row r="412" spans="1:12" s="40" customFormat="1" ht="12.75" customHeight="1" x14ac:dyDescent="0.3">
      <c r="A412" s="16">
        <v>6419</v>
      </c>
      <c r="B412" s="17">
        <v>40</v>
      </c>
      <c r="C412" s="17">
        <v>1</v>
      </c>
      <c r="D412" s="17">
        <v>1</v>
      </c>
      <c r="E412" s="18" t="s">
        <v>422</v>
      </c>
      <c r="F412" s="39">
        <v>13557</v>
      </c>
      <c r="G412" s="39">
        <v>97</v>
      </c>
      <c r="H412" s="39">
        <v>392</v>
      </c>
      <c r="I412" s="39">
        <v>14047</v>
      </c>
      <c r="J412" s="39">
        <v>875</v>
      </c>
      <c r="K412" s="39">
        <v>14921</v>
      </c>
      <c r="L412" s="43">
        <v>2783</v>
      </c>
    </row>
    <row r="413" spans="1:12" s="40" customFormat="1" ht="12.75" customHeight="1" x14ac:dyDescent="0.3">
      <c r="A413" s="16">
        <v>6426</v>
      </c>
      <c r="B413" s="17">
        <v>61</v>
      </c>
      <c r="C413" s="17">
        <v>4</v>
      </c>
      <c r="D413" s="17">
        <v>1</v>
      </c>
      <c r="E413" s="18" t="s">
        <v>423</v>
      </c>
      <c r="F413" s="39">
        <v>14115</v>
      </c>
      <c r="G413" s="39">
        <v>966</v>
      </c>
      <c r="H413" s="39">
        <v>1339</v>
      </c>
      <c r="I413" s="39">
        <v>16421</v>
      </c>
      <c r="J413" s="39">
        <v>1044</v>
      </c>
      <c r="K413" s="39">
        <v>17465</v>
      </c>
      <c r="L413" s="43">
        <v>774</v>
      </c>
    </row>
    <row r="414" spans="1:12" s="40" customFormat="1" ht="12.75" customHeight="1" x14ac:dyDescent="0.3">
      <c r="A414" s="16">
        <v>6461</v>
      </c>
      <c r="B414" s="17">
        <v>64</v>
      </c>
      <c r="C414" s="17">
        <v>2</v>
      </c>
      <c r="D414" s="17">
        <v>1</v>
      </c>
      <c r="E414" s="18" t="s">
        <v>424</v>
      </c>
      <c r="F414" s="39">
        <v>15043</v>
      </c>
      <c r="G414" s="39">
        <v>750</v>
      </c>
      <c r="H414" s="39">
        <v>693</v>
      </c>
      <c r="I414" s="39">
        <v>16487</v>
      </c>
      <c r="J414" s="39">
        <v>770</v>
      </c>
      <c r="K414" s="39">
        <v>17257</v>
      </c>
      <c r="L414" s="43">
        <v>2156</v>
      </c>
    </row>
    <row r="415" spans="1:12" s="40" customFormat="1" ht="12.75" customHeight="1" x14ac:dyDescent="0.3">
      <c r="A415" s="16">
        <v>6470</v>
      </c>
      <c r="B415" s="17">
        <v>40</v>
      </c>
      <c r="C415" s="17">
        <v>1</v>
      </c>
      <c r="D415" s="17">
        <v>1</v>
      </c>
      <c r="E415" s="18" t="s">
        <v>425</v>
      </c>
      <c r="F415" s="39">
        <v>13538</v>
      </c>
      <c r="G415" s="39">
        <v>456</v>
      </c>
      <c r="H415" s="39">
        <v>2236</v>
      </c>
      <c r="I415" s="39">
        <v>16230</v>
      </c>
      <c r="J415" s="39">
        <v>712</v>
      </c>
      <c r="K415" s="39">
        <v>16942</v>
      </c>
      <c r="L415" s="43">
        <v>2154</v>
      </c>
    </row>
    <row r="416" spans="1:12" s="40" customFormat="1" ht="12.75" customHeight="1" x14ac:dyDescent="0.3">
      <c r="A416" s="16">
        <v>6475</v>
      </c>
      <c r="B416" s="17">
        <v>69</v>
      </c>
      <c r="C416" s="17">
        <v>5</v>
      </c>
      <c r="D416" s="17">
        <v>1</v>
      </c>
      <c r="E416" s="18" t="s">
        <v>426</v>
      </c>
      <c r="F416" s="39">
        <v>14914</v>
      </c>
      <c r="G416" s="39">
        <v>898</v>
      </c>
      <c r="H416" s="39">
        <v>2302</v>
      </c>
      <c r="I416" s="39">
        <v>18113</v>
      </c>
      <c r="J416" s="39">
        <v>674</v>
      </c>
      <c r="K416" s="39">
        <v>18788</v>
      </c>
      <c r="L416" s="43">
        <v>560</v>
      </c>
    </row>
    <row r="417" spans="1:12" s="40" customFormat="1" ht="12.75" customHeight="1" x14ac:dyDescent="0.3">
      <c r="A417" s="16">
        <v>6482</v>
      </c>
      <c r="B417" s="17">
        <v>64</v>
      </c>
      <c r="C417" s="17">
        <v>2</v>
      </c>
      <c r="D417" s="17">
        <v>1</v>
      </c>
      <c r="E417" s="18" t="s">
        <v>427</v>
      </c>
      <c r="F417" s="39">
        <v>17825</v>
      </c>
      <c r="G417" s="39">
        <v>396</v>
      </c>
      <c r="H417" s="39">
        <v>8749</v>
      </c>
      <c r="I417" s="39">
        <v>26971</v>
      </c>
      <c r="J417" s="39">
        <v>1211</v>
      </c>
      <c r="K417" s="39">
        <v>28182</v>
      </c>
      <c r="L417" s="43">
        <v>499</v>
      </c>
    </row>
    <row r="418" spans="1:12" s="40" customFormat="1" ht="12.75" customHeight="1" x14ac:dyDescent="0.3">
      <c r="A418" s="16">
        <v>6545</v>
      </c>
      <c r="B418" s="17">
        <v>30</v>
      </c>
      <c r="C418" s="17">
        <v>2</v>
      </c>
      <c r="D418" s="17">
        <v>2</v>
      </c>
      <c r="E418" s="18" t="s">
        <v>428</v>
      </c>
      <c r="F418" s="39">
        <v>14531</v>
      </c>
      <c r="G418" s="39">
        <v>547</v>
      </c>
      <c r="H418" s="39">
        <v>4252</v>
      </c>
      <c r="I418" s="39">
        <v>19330</v>
      </c>
      <c r="J418" s="39">
        <v>696</v>
      </c>
      <c r="K418" s="39">
        <v>20026</v>
      </c>
      <c r="L418" s="43">
        <v>969</v>
      </c>
    </row>
    <row r="419" spans="1:12" s="40" customFormat="1" ht="12.75" customHeight="1" x14ac:dyDescent="0.3">
      <c r="A419" s="16">
        <v>6608</v>
      </c>
      <c r="B419" s="17">
        <v>70</v>
      </c>
      <c r="C419" s="17">
        <v>6</v>
      </c>
      <c r="D419" s="17">
        <v>1</v>
      </c>
      <c r="E419" s="18" t="s">
        <v>429</v>
      </c>
      <c r="F419" s="39">
        <v>12597</v>
      </c>
      <c r="G419" s="39">
        <v>832</v>
      </c>
      <c r="H419" s="39">
        <v>3583</v>
      </c>
      <c r="I419" s="39">
        <v>17012</v>
      </c>
      <c r="J419" s="39">
        <v>636</v>
      </c>
      <c r="K419" s="39">
        <v>17648</v>
      </c>
      <c r="L419" s="43">
        <v>1537</v>
      </c>
    </row>
    <row r="420" spans="1:12" s="40" customFormat="1" ht="12.75" customHeight="1" x14ac:dyDescent="0.3">
      <c r="A420" s="16">
        <v>6615</v>
      </c>
      <c r="B420" s="17">
        <v>57</v>
      </c>
      <c r="C420" s="17">
        <v>12</v>
      </c>
      <c r="D420" s="17">
        <v>1</v>
      </c>
      <c r="E420" s="18" t="s">
        <v>430</v>
      </c>
      <c r="F420" s="39">
        <v>19443</v>
      </c>
      <c r="G420" s="39">
        <v>4077</v>
      </c>
      <c r="H420" s="39">
        <v>4373</v>
      </c>
      <c r="I420" s="39">
        <v>27893</v>
      </c>
      <c r="J420" s="39">
        <v>1379</v>
      </c>
      <c r="K420" s="39">
        <v>29272</v>
      </c>
      <c r="L420" s="43">
        <v>268</v>
      </c>
    </row>
    <row r="421" spans="1:12" s="40" customFormat="1" ht="12.75" customHeight="1" x14ac:dyDescent="0.3">
      <c r="A421" s="16">
        <v>6678</v>
      </c>
      <c r="B421" s="17">
        <v>56</v>
      </c>
      <c r="C421" s="17">
        <v>5</v>
      </c>
      <c r="D421" s="17">
        <v>1</v>
      </c>
      <c r="E421" s="18" t="s">
        <v>431</v>
      </c>
      <c r="F421" s="39">
        <v>14089</v>
      </c>
      <c r="G421" s="39">
        <v>871</v>
      </c>
      <c r="H421" s="39">
        <v>1148</v>
      </c>
      <c r="I421" s="39">
        <v>16108</v>
      </c>
      <c r="J421" s="39">
        <v>925</v>
      </c>
      <c r="K421" s="39">
        <v>17033</v>
      </c>
      <c r="L421" s="43">
        <v>1834</v>
      </c>
    </row>
    <row r="422" spans="1:12" s="40" customFormat="1" ht="12.75" customHeight="1" x14ac:dyDescent="0.3">
      <c r="A422" s="16">
        <v>469</v>
      </c>
      <c r="B422" s="17">
        <v>13</v>
      </c>
      <c r="C422" s="17">
        <v>2</v>
      </c>
      <c r="D422" s="17">
        <v>1</v>
      </c>
      <c r="E422" s="18" t="s">
        <v>432</v>
      </c>
      <c r="F422" s="39">
        <v>14832</v>
      </c>
      <c r="G422" s="39">
        <v>1261</v>
      </c>
      <c r="H422" s="39">
        <v>3077</v>
      </c>
      <c r="I422" s="39">
        <v>19170</v>
      </c>
      <c r="J422" s="39">
        <v>481</v>
      </c>
      <c r="K422" s="39">
        <v>19651</v>
      </c>
      <c r="L422" s="43">
        <v>784</v>
      </c>
    </row>
    <row r="423" spans="1:12" s="40" customFormat="1" ht="12.75" customHeight="1" x14ac:dyDescent="0.3">
      <c r="A423" s="16">
        <v>6685</v>
      </c>
      <c r="B423" s="17">
        <v>71</v>
      </c>
      <c r="C423" s="17">
        <v>5</v>
      </c>
      <c r="D423" s="17">
        <v>1</v>
      </c>
      <c r="E423" s="18" t="s">
        <v>433</v>
      </c>
      <c r="F423" s="39">
        <v>14084</v>
      </c>
      <c r="G423" s="39">
        <v>649</v>
      </c>
      <c r="H423" s="39">
        <v>1751</v>
      </c>
      <c r="I423" s="39">
        <v>16484</v>
      </c>
      <c r="J423" s="39">
        <v>929</v>
      </c>
      <c r="K423" s="39">
        <v>17412</v>
      </c>
      <c r="L423" s="43">
        <v>5077</v>
      </c>
    </row>
    <row r="424" spans="1:12" s="40" customFormat="1" ht="12.75" customHeight="1" x14ac:dyDescent="0.3">
      <c r="A424" s="16">
        <v>6692</v>
      </c>
      <c r="B424" s="17">
        <v>58</v>
      </c>
      <c r="C424" s="17">
        <v>8</v>
      </c>
      <c r="D424" s="17">
        <v>1</v>
      </c>
      <c r="E424" s="18" t="s">
        <v>434</v>
      </c>
      <c r="F424" s="39">
        <v>12125</v>
      </c>
      <c r="G424" s="39">
        <v>555</v>
      </c>
      <c r="H424" s="39">
        <v>1891</v>
      </c>
      <c r="I424" s="39">
        <v>14570</v>
      </c>
      <c r="J424" s="39">
        <v>1150</v>
      </c>
      <c r="K424" s="39">
        <v>15720</v>
      </c>
      <c r="L424" s="43">
        <v>1135</v>
      </c>
    </row>
    <row r="425" spans="1:12" s="40" customFormat="1" ht="12.75" customHeight="1" x14ac:dyDescent="0.3">
      <c r="A425" s="16">
        <v>6713</v>
      </c>
      <c r="B425" s="17">
        <v>29</v>
      </c>
      <c r="C425" s="17">
        <v>4</v>
      </c>
      <c r="D425" s="17">
        <v>1</v>
      </c>
      <c r="E425" s="18" t="s">
        <v>435</v>
      </c>
      <c r="F425" s="39">
        <v>14727</v>
      </c>
      <c r="G425" s="39">
        <v>909</v>
      </c>
      <c r="H425" s="39">
        <v>1353</v>
      </c>
      <c r="I425" s="39">
        <v>16989</v>
      </c>
      <c r="J425" s="39">
        <v>982</v>
      </c>
      <c r="K425" s="39">
        <v>17970</v>
      </c>
      <c r="L425" s="43">
        <v>411</v>
      </c>
    </row>
    <row r="426" spans="1:12" s="40" customFormat="1" ht="12.75" customHeight="1" x14ac:dyDescent="0.3">
      <c r="A426" s="16">
        <v>6720</v>
      </c>
      <c r="B426" s="17">
        <v>63</v>
      </c>
      <c r="C426" s="17">
        <v>9</v>
      </c>
      <c r="D426" s="17">
        <v>3</v>
      </c>
      <c r="E426" s="18" t="s">
        <v>436</v>
      </c>
      <c r="F426" s="39">
        <v>16026</v>
      </c>
      <c r="G426" s="39">
        <v>928</v>
      </c>
      <c r="H426" s="39">
        <v>0</v>
      </c>
      <c r="I426" s="39">
        <v>16954</v>
      </c>
      <c r="J426" s="39">
        <v>725</v>
      </c>
      <c r="K426" s="39">
        <v>17678</v>
      </c>
      <c r="L426" s="43">
        <v>446</v>
      </c>
    </row>
    <row r="427" spans="1:12" s="40" customFormat="1" ht="12.75" customHeight="1" x14ac:dyDescent="0.3">
      <c r="A427" s="16">
        <v>6734</v>
      </c>
      <c r="B427" s="17">
        <v>5</v>
      </c>
      <c r="C427" s="17">
        <v>7</v>
      </c>
      <c r="D427" s="17">
        <v>1</v>
      </c>
      <c r="E427" s="18" t="s">
        <v>437</v>
      </c>
      <c r="F427" s="39">
        <v>12596</v>
      </c>
      <c r="G427" s="39">
        <v>564</v>
      </c>
      <c r="H427" s="39">
        <v>1905</v>
      </c>
      <c r="I427" s="39">
        <v>15065</v>
      </c>
      <c r="J427" s="39">
        <v>700</v>
      </c>
      <c r="K427" s="39">
        <v>15764</v>
      </c>
      <c r="L427" s="43">
        <v>1345</v>
      </c>
    </row>
    <row r="428" spans="1:12" s="40" customFormat="1" ht="12.75" customHeight="1" x14ac:dyDescent="0.3">
      <c r="A428" s="16">
        <v>6748</v>
      </c>
      <c r="B428" s="17">
        <v>51</v>
      </c>
      <c r="C428" s="17">
        <v>2</v>
      </c>
      <c r="D428" s="17">
        <v>3</v>
      </c>
      <c r="E428" s="18" t="s">
        <v>438</v>
      </c>
      <c r="F428" s="39">
        <v>14602</v>
      </c>
      <c r="G428" s="39">
        <v>1070</v>
      </c>
      <c r="H428" s="39">
        <v>3469</v>
      </c>
      <c r="I428" s="39">
        <v>19141</v>
      </c>
      <c r="J428" s="39">
        <v>1690</v>
      </c>
      <c r="K428" s="39">
        <v>20831</v>
      </c>
      <c r="L428" s="43">
        <v>325</v>
      </c>
    </row>
    <row r="429" spans="1:12" x14ac:dyDescent="0.35">
      <c r="A429" s="9"/>
      <c r="B429" s="10"/>
      <c r="C429" s="10"/>
      <c r="D429" s="10"/>
      <c r="E429" s="10"/>
      <c r="F429" s="8"/>
      <c r="G429" s="8"/>
      <c r="H429" s="8"/>
      <c r="I429" s="8"/>
      <c r="J429" s="8"/>
      <c r="K429" s="8"/>
      <c r="L429" s="8"/>
    </row>
    <row r="430" spans="1:12" s="41" customFormat="1" ht="13" x14ac:dyDescent="0.3">
      <c r="A430" s="19"/>
      <c r="B430" s="20"/>
      <c r="C430" s="20"/>
      <c r="D430" s="20"/>
      <c r="E430" s="20" t="s">
        <v>439</v>
      </c>
      <c r="F430" s="42">
        <f>'STATE TOTALS'!F430/'STATE TOTALS'!L430</f>
        <v>14780.664940409511</v>
      </c>
      <c r="G430" s="42">
        <f>'STATE TOTALS'!G430/'STATE TOTALS'!L430</f>
        <v>696.67968374311192</v>
      </c>
      <c r="H430" s="42">
        <f>'STATE TOTALS'!H430/'STATE TOTALS'!L430</f>
        <v>1922.8954989080205</v>
      </c>
      <c r="I430" s="42">
        <f>'STATE TOTALS'!I430/'STATE TOTALS'!L430</f>
        <v>17400.240123012285</v>
      </c>
      <c r="J430" s="42">
        <f>'STATE TOTALS'!J430/'STATE TOTALS'!L430</f>
        <v>909.80421673030025</v>
      </c>
      <c r="K430" s="42">
        <f>'STATE TOTALS'!K430/'STATE TOTALS'!L430</f>
        <v>18310.044339754681</v>
      </c>
      <c r="L430" s="21">
        <f>SUM(L9:L429)</f>
        <v>827397</v>
      </c>
    </row>
    <row r="431" spans="1:12" x14ac:dyDescent="0.35">
      <c r="A431" s="22"/>
      <c r="B431" s="23"/>
      <c r="C431" s="23"/>
      <c r="D431" s="23"/>
      <c r="E431" s="23"/>
      <c r="F431" s="24"/>
      <c r="G431" s="24"/>
      <c r="H431" s="24"/>
      <c r="I431" s="24"/>
      <c r="J431" s="24"/>
      <c r="K431" s="24"/>
      <c r="L431" s="24"/>
    </row>
    <row r="432" spans="1:12" s="35" customFormat="1" ht="13" x14ac:dyDescent="0.3">
      <c r="A432" s="36" t="s">
        <v>449</v>
      </c>
      <c r="B432" s="37"/>
      <c r="C432" s="37"/>
      <c r="D432" s="37"/>
      <c r="E432" s="37"/>
      <c r="F432" s="38"/>
      <c r="G432" s="38"/>
      <c r="H432" s="38"/>
      <c r="I432" s="38"/>
      <c r="J432" s="38"/>
      <c r="K432" s="38"/>
      <c r="L432" s="38"/>
    </row>
  </sheetData>
  <pageMargins left="0.36" right="0.28000000000000003" top="0.45" bottom="0.38" header="0.3" footer="0.17"/>
  <pageSetup scale="87" fitToHeight="11" orientation="landscape" r:id="rId1"/>
  <headerFooter>
    <oddFooter>&amp;C&amp;8&amp;P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STATE TOTALS</vt:lpstr>
      <vt:lpstr>PER MEMBER</vt:lpstr>
      <vt:lpstr>'STATE TOTALS'!Print_Titles</vt:lpstr>
    </vt:vector>
  </TitlesOfParts>
  <Company>State of Wisconsin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 A. Kucharz</dc:creator>
  <cp:lastModifiedBy>Ben Kopitzke</cp:lastModifiedBy>
  <cp:lastPrinted>2014-05-05T17:39:11Z</cp:lastPrinted>
  <dcterms:created xsi:type="dcterms:W3CDTF">2014-05-05T17:22:24Z</dcterms:created>
  <dcterms:modified xsi:type="dcterms:W3CDTF">2025-06-26T16:06:14Z</dcterms:modified>
</cp:coreProperties>
</file>